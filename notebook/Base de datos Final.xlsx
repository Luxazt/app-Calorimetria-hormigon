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LI9yDVJaXwynhj4huglBOWbvg1T7PYrC5iDXCfrdaO8="/>
    </ext>
  </extLst>
</workbook>
</file>

<file path=xl/sharedStrings.xml><?xml version="1.0" encoding="utf-8"?>
<sst xmlns="http://schemas.openxmlformats.org/spreadsheetml/2006/main" count="745" uniqueCount="297">
  <si>
    <t>Calorimetria</t>
  </si>
  <si>
    <t>Temperatura</t>
  </si>
  <si>
    <t>Resistencia a penetración (Mpa)</t>
  </si>
  <si>
    <t xml:space="preserve">Resistencia hincado clavo </t>
  </si>
  <si>
    <t>Resistencia a compresión</t>
  </si>
  <si>
    <t>Referencia</t>
  </si>
  <si>
    <t>Material</t>
  </si>
  <si>
    <t>Relacion A/C</t>
  </si>
  <si>
    <t>Cemento</t>
  </si>
  <si>
    <t>Tipo acelerante</t>
  </si>
  <si>
    <t>Acelerante</t>
  </si>
  <si>
    <t>Dosificación</t>
  </si>
  <si>
    <t>Punto máx Ace (mW/g)</t>
  </si>
  <si>
    <t>Pendiente 1 (mW/g·h)</t>
  </si>
  <si>
    <t>Energía 1 (J/g)</t>
  </si>
  <si>
    <t>Punto máx Principal (mW/g)</t>
  </si>
  <si>
    <t>Pendiente 2 (mW/g·h)</t>
  </si>
  <si>
    <t>Energía 2 (J/g)</t>
  </si>
  <si>
    <t>Energía Total 1</t>
  </si>
  <si>
    <t>Punto máx Ace (ºC)</t>
  </si>
  <si>
    <t>Pendiente 1 (ºC/h)</t>
  </si>
  <si>
    <t>Punto máx Principal (ºC)</t>
  </si>
  <si>
    <t>Pendiente 2 (ºC/h)</t>
  </si>
  <si>
    <t>Area T (ºC)</t>
  </si>
  <si>
    <t>2010-2011</t>
  </si>
  <si>
    <t>Mortero</t>
  </si>
  <si>
    <t>CEM II/A-L 42,5 R</t>
  </si>
  <si>
    <t>AKF</t>
  </si>
  <si>
    <t>19.60</t>
  </si>
  <si>
    <t>0.84</t>
  </si>
  <si>
    <t>1.08</t>
  </si>
  <si>
    <t>1.25</t>
  </si>
  <si>
    <t>3.48</t>
  </si>
  <si>
    <t>13.26</t>
  </si>
  <si>
    <t>24.21</t>
  </si>
  <si>
    <t>8.88</t>
  </si>
  <si>
    <t>15.73</t>
  </si>
  <si>
    <t>25.18</t>
  </si>
  <si>
    <t>17.92</t>
  </si>
  <si>
    <t>0.66</t>
  </si>
  <si>
    <t>0.93</t>
  </si>
  <si>
    <t>1.10</t>
  </si>
  <si>
    <t>4.05</t>
  </si>
  <si>
    <t>9.04</t>
  </si>
  <si>
    <t>22.73</t>
  </si>
  <si>
    <t>12.33</t>
  </si>
  <si>
    <t>15.21</t>
  </si>
  <si>
    <t>29.22</t>
  </si>
  <si>
    <t>10.44</t>
  </si>
  <si>
    <t>1.07</t>
  </si>
  <si>
    <t>-</t>
  </si>
  <si>
    <t>3.29</t>
  </si>
  <si>
    <t>4.31</t>
  </si>
  <si>
    <t>10.77</t>
  </si>
  <si>
    <t>7.98</t>
  </si>
  <si>
    <t>14.48</t>
  </si>
  <si>
    <t>29.52</t>
  </si>
  <si>
    <t>80 AF</t>
  </si>
  <si>
    <t>13.73</t>
  </si>
  <si>
    <t>0.41</t>
  </si>
  <si>
    <t>0.49</t>
  </si>
  <si>
    <t>0.65</t>
  </si>
  <si>
    <t>0.97</t>
  </si>
  <si>
    <t>1.18</t>
  </si>
  <si>
    <t>4.00</t>
  </si>
  <si>
    <t>9.01</t>
  </si>
  <si>
    <t>16.39</t>
  </si>
  <si>
    <t>20.95</t>
  </si>
  <si>
    <t>19.95</t>
  </si>
  <si>
    <t>31.34</t>
  </si>
  <si>
    <t>33.43</t>
  </si>
  <si>
    <t>13.57</t>
  </si>
  <si>
    <t>0.57</t>
  </si>
  <si>
    <t>0.75</t>
  </si>
  <si>
    <t>0.83</t>
  </si>
  <si>
    <t>1.19</t>
  </si>
  <si>
    <t>5.94</t>
  </si>
  <si>
    <t>9.09</t>
  </si>
  <si>
    <t>18.81</t>
  </si>
  <si>
    <t>18.38</t>
  </si>
  <si>
    <t>19.80</t>
  </si>
  <si>
    <t>33.18</t>
  </si>
  <si>
    <t>34.79</t>
  </si>
  <si>
    <t>16.10</t>
  </si>
  <si>
    <t>0.86</t>
  </si>
  <si>
    <t>1.00</t>
  </si>
  <si>
    <t>1.06</t>
  </si>
  <si>
    <t>7.48</t>
  </si>
  <si>
    <t>9.91</t>
  </si>
  <si>
    <t>16.58</t>
  </si>
  <si>
    <t>17.47</t>
  </si>
  <si>
    <t>19.81</t>
  </si>
  <si>
    <t>33.42</t>
  </si>
  <si>
    <t>33.09</t>
  </si>
  <si>
    <t>CEM I 52,5R</t>
  </si>
  <si>
    <t>8.37</t>
  </si>
  <si>
    <t>0.53</t>
  </si>
  <si>
    <t>0.81</t>
  </si>
  <si>
    <t>1.22</t>
  </si>
  <si>
    <t>6.11</t>
  </si>
  <si>
    <t>26.63</t>
  </si>
  <si>
    <t>20.74</t>
  </si>
  <si>
    <t>33.48</t>
  </si>
  <si>
    <t>45.56</t>
  </si>
  <si>
    <t>12.08</t>
  </si>
  <si>
    <t>0.63</t>
  </si>
  <si>
    <t>0.70</t>
  </si>
  <si>
    <t>0.79</t>
  </si>
  <si>
    <t>1.11</t>
  </si>
  <si>
    <t>3.40</t>
  </si>
  <si>
    <t>5.12</t>
  </si>
  <si>
    <t>21.05</t>
  </si>
  <si>
    <t>11.90</t>
  </si>
  <si>
    <t>24.68</t>
  </si>
  <si>
    <t>38.38</t>
  </si>
  <si>
    <t>13.64</t>
  </si>
  <si>
    <t>0.87</t>
  </si>
  <si>
    <t>1.14</t>
  </si>
  <si>
    <t>2.74</t>
  </si>
  <si>
    <t>3.37</t>
  </si>
  <si>
    <t>4.77</t>
  </si>
  <si>
    <t>24.50</t>
  </si>
  <si>
    <t>12.59</t>
  </si>
  <si>
    <t>15.84</t>
  </si>
  <si>
    <t>31.17</t>
  </si>
  <si>
    <t>18.56</t>
  </si>
  <si>
    <t>0.38</t>
  </si>
  <si>
    <t>0.52</t>
  </si>
  <si>
    <t>0.82</t>
  </si>
  <si>
    <t>0.99</t>
  </si>
  <si>
    <t>9.37</t>
  </si>
  <si>
    <t>21.08</t>
  </si>
  <si>
    <t>24.90</t>
  </si>
  <si>
    <t>38.56</t>
  </si>
  <si>
    <t>51.42</t>
  </si>
  <si>
    <t>66.69</t>
  </si>
  <si>
    <t>21.04</t>
  </si>
  <si>
    <t>13.80</t>
  </si>
  <si>
    <t>23.58</t>
  </si>
  <si>
    <t>21.15</t>
  </si>
  <si>
    <t>27.94</t>
  </si>
  <si>
    <t>49.87</t>
  </si>
  <si>
    <t>66.47</t>
  </si>
  <si>
    <t>21.33</t>
  </si>
  <si>
    <t>0.77</t>
  </si>
  <si>
    <t>13.25</t>
  </si>
  <si>
    <t>23.91</t>
  </si>
  <si>
    <t>23.95</t>
  </si>
  <si>
    <t>27.84</t>
  </si>
  <si>
    <t>47.79</t>
  </si>
  <si>
    <t>57.39</t>
  </si>
  <si>
    <t>70 AF</t>
  </si>
  <si>
    <t>12.66</t>
  </si>
  <si>
    <t>0.34</t>
  </si>
  <si>
    <t>0.64</t>
  </si>
  <si>
    <t>4.33</t>
  </si>
  <si>
    <t>8.35</t>
  </si>
  <si>
    <t>16.30</t>
  </si>
  <si>
    <t>17.70</t>
  </si>
  <si>
    <t>34.09</t>
  </si>
  <si>
    <t>41.15</t>
  </si>
  <si>
    <t>16.36</t>
  </si>
  <si>
    <t>0.47</t>
  </si>
  <si>
    <t>0.74</t>
  </si>
  <si>
    <t>4.35</t>
  </si>
  <si>
    <t>8.45</t>
  </si>
  <si>
    <t>16.21</t>
  </si>
  <si>
    <t>14.69</t>
  </si>
  <si>
    <t>30.87</t>
  </si>
  <si>
    <t>38.98</t>
  </si>
  <si>
    <t>1.03</t>
  </si>
  <si>
    <t>3.35</t>
  </si>
  <si>
    <t>4.95</t>
  </si>
  <si>
    <t>12.79</t>
  </si>
  <si>
    <t>7.32</t>
  </si>
  <si>
    <t>15.75</t>
  </si>
  <si>
    <t>32.19</t>
  </si>
  <si>
    <t>L</t>
  </si>
  <si>
    <t>53 AF</t>
  </si>
  <si>
    <t>12.24</t>
  </si>
  <si>
    <t>0.67</t>
  </si>
  <si>
    <t>0.89</t>
  </si>
  <si>
    <t>1.01</t>
  </si>
  <si>
    <t>3.34</t>
  </si>
  <si>
    <t>5.80</t>
  </si>
  <si>
    <t>10.36</t>
  </si>
  <si>
    <t>21.40</t>
  </si>
  <si>
    <t>16.87</t>
  </si>
  <si>
    <t>33.23</t>
  </si>
  <si>
    <t>45.34</t>
  </si>
  <si>
    <t>15.29</t>
  </si>
  <si>
    <t>1.12</t>
  </si>
  <si>
    <t>1.27</t>
  </si>
  <si>
    <t>4.26</t>
  </si>
  <si>
    <t>6.12</t>
  </si>
  <si>
    <t>10.39</t>
  </si>
  <si>
    <t>19.36</t>
  </si>
  <si>
    <t>29.27</t>
  </si>
  <si>
    <t>46.75</t>
  </si>
  <si>
    <t>21.31</t>
  </si>
  <si>
    <t>1.29</t>
  </si>
  <si>
    <t>4.24</t>
  </si>
  <si>
    <t>6.35</t>
  </si>
  <si>
    <t>9.99</t>
  </si>
  <si>
    <t>16.88</t>
  </si>
  <si>
    <t>20.35</t>
  </si>
  <si>
    <t>32.20</t>
  </si>
  <si>
    <t>38.45</t>
  </si>
  <si>
    <t>0.58</t>
  </si>
  <si>
    <t>0.76</t>
  </si>
  <si>
    <t>1.05</t>
  </si>
  <si>
    <t>14.55</t>
  </si>
  <si>
    <t>15.97</t>
  </si>
  <si>
    <t>22.17</t>
  </si>
  <si>
    <t>25.14</t>
  </si>
  <si>
    <t>32.61</t>
  </si>
  <si>
    <t>42.60</t>
  </si>
  <si>
    <t>48.73</t>
  </si>
  <si>
    <t>24.43</t>
  </si>
  <si>
    <t>1.30</t>
  </si>
  <si>
    <t>16.14</t>
  </si>
  <si>
    <t>20.72</t>
  </si>
  <si>
    <t>21.56</t>
  </si>
  <si>
    <t>23.87</t>
  </si>
  <si>
    <t>34.00</t>
  </si>
  <si>
    <t>43.37</t>
  </si>
  <si>
    <t>53.49</t>
  </si>
  <si>
    <t>20.67</t>
  </si>
  <si>
    <t>1.04</t>
  </si>
  <si>
    <t>13.22</t>
  </si>
  <si>
    <t>17.58</t>
  </si>
  <si>
    <t>23.74</t>
  </si>
  <si>
    <t>31.73</t>
  </si>
  <si>
    <t>40.34</t>
  </si>
  <si>
    <t>45.79</t>
  </si>
  <si>
    <t>20.08</t>
  </si>
  <si>
    <t>0.72</t>
  </si>
  <si>
    <t>1.26</t>
  </si>
  <si>
    <t>11.34</t>
  </si>
  <si>
    <t>20.09</t>
  </si>
  <si>
    <t>20.15</t>
  </si>
  <si>
    <t>25.88</t>
  </si>
  <si>
    <t>30.56</t>
  </si>
  <si>
    <t>45.71</t>
  </si>
  <si>
    <t>51.96</t>
  </si>
  <si>
    <t>19.78</t>
  </si>
  <si>
    <t>0.91</t>
  </si>
  <si>
    <t>1.16</t>
  </si>
  <si>
    <t>12.99</t>
  </si>
  <si>
    <t>15.41</t>
  </si>
  <si>
    <t>17.83</t>
  </si>
  <si>
    <t>24.08</t>
  </si>
  <si>
    <t>29.25</t>
  </si>
  <si>
    <t>41.26</t>
  </si>
  <si>
    <t>47.07</t>
  </si>
  <si>
    <t>20.70</t>
  </si>
  <si>
    <t>1.09</t>
  </si>
  <si>
    <t>1.13</t>
  </si>
  <si>
    <t>11.79</t>
  </si>
  <si>
    <t>13.68</t>
  </si>
  <si>
    <t>19.84</t>
  </si>
  <si>
    <t>24.69</t>
  </si>
  <si>
    <t>23.20</t>
  </si>
  <si>
    <t>37.09</t>
  </si>
  <si>
    <t>46.73</t>
  </si>
  <si>
    <t>2013_A</t>
  </si>
  <si>
    <t>&gt; 1</t>
  </si>
  <si>
    <t>63Z</t>
  </si>
  <si>
    <t>2014_A</t>
  </si>
  <si>
    <t>Pasta</t>
  </si>
  <si>
    <t xml:space="preserve">Matrix </t>
  </si>
  <si>
    <t>ALNA</t>
  </si>
  <si>
    <t>2020_A</t>
  </si>
  <si>
    <t>63_1</t>
  </si>
  <si>
    <t>63_2</t>
  </si>
  <si>
    <t>63_3</t>
  </si>
  <si>
    <t>63_4</t>
  </si>
  <si>
    <t>2020_B</t>
  </si>
  <si>
    <t>80_vo</t>
  </si>
  <si>
    <t>63_vo</t>
  </si>
  <si>
    <t>2020_C</t>
  </si>
  <si>
    <t>80_1</t>
  </si>
  <si>
    <t>80_2</t>
  </si>
  <si>
    <t>80_3</t>
  </si>
  <si>
    <t>2021_A</t>
  </si>
  <si>
    <t>60_1</t>
  </si>
  <si>
    <t>60_2</t>
  </si>
  <si>
    <t>60_3</t>
  </si>
  <si>
    <t>2022_A</t>
  </si>
  <si>
    <t>240,63 </t>
  </si>
  <si>
    <t>268,81 </t>
  </si>
  <si>
    <t>HAL</t>
  </si>
  <si>
    <t>253,62 </t>
  </si>
  <si>
    <t>203,42 </t>
  </si>
  <si>
    <t>233,82 </t>
  </si>
  <si>
    <t>2024_A</t>
  </si>
  <si>
    <t xml:space="preserve">&lt; 0,8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</si>
</sst>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#,##0.000"/>
    <numFmt numFmtId="166" formatCode="0.0000"/>
  </numFmts>
  <fonts count="15">
    <font>
      <sz val="11.0"/>
      <color theme="1"/>
      <name val="Calibri"/>
      <scheme val="minor"/>
    </font>
    <font>
      <sz val="12.0"/>
      <color theme="1"/>
      <name val="Helvetica Neue"/>
    </font>
    <font>
      <sz val="11.0"/>
      <color theme="1"/>
      <name val="Calibri"/>
    </font>
    <font/>
    <font>
      <sz val="11.0"/>
      <color rgb="FF000000"/>
      <name val="Calibri"/>
    </font>
    <font>
      <sz val="12.0"/>
      <color rgb="FF2C2C2C"/>
      <name val="Calibri"/>
    </font>
    <font>
      <i/>
      <sz val="11.0"/>
      <color rgb="FF000000"/>
      <name val="Calibri"/>
    </font>
    <font>
      <color theme="1"/>
      <name val="Calibri"/>
      <scheme val="minor"/>
    </font>
    <font>
      <sz val="11.0"/>
      <color theme="1"/>
      <name val="Helvetica Neue"/>
    </font>
    <font>
      <sz val="10.0"/>
      <color rgb="FF000000"/>
      <name val="Cambria"/>
    </font>
    <font>
      <sz val="10.0"/>
      <color theme="1"/>
      <name val="Times New Roman"/>
    </font>
    <font>
      <sz val="11.0"/>
      <color rgb="FF000000"/>
      <name val="Calibri"/>
      <scheme val="minor"/>
    </font>
    <font>
      <b/>
      <sz val="8.0"/>
      <color rgb="FF000000"/>
      <name val="Times New Roman"/>
    </font>
    <font>
      <sz val="8.0"/>
      <color rgb="FF000000"/>
      <name val="Times New Roman"/>
    </font>
    <font>
      <sz val="11.0"/>
      <color rgb="FF2C2C2C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</fills>
  <borders count="17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/>
    </xf>
    <xf borderId="6" fillId="2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7" fillId="3" fontId="4" numFmtId="0" xfId="0" applyAlignment="1" applyBorder="1" applyFill="1" applyFont="1">
      <alignment horizontal="center" shrinkToFit="0" vertical="center" wrapText="1"/>
    </xf>
    <xf borderId="7" fillId="3" fontId="2" numFmtId="0" xfId="0" applyBorder="1" applyFill="1" applyFont="1"/>
    <xf borderId="7" fillId="3" fontId="1" numFmtId="0" xfId="0" applyBorder="1" applyFill="1" applyFont="1"/>
    <xf borderId="0" fillId="0" fontId="2" numFmtId="0" xfId="0" applyFont="1"/>
    <xf borderId="7" fillId="2" fontId="2" numFmtId="0" xfId="0" applyBorder="1" applyFill="1" applyFont="1"/>
    <xf borderId="0" fillId="0" fontId="2" numFmtId="164" xfId="0" applyAlignment="1" applyFont="1" applyNumberFormat="1">
      <alignment horizontal="center"/>
    </xf>
    <xf borderId="8" fillId="0" fontId="2" numFmtId="0" xfId="0" applyAlignment="1" applyBorder="1" applyFont="1">
      <alignment horizontal="center" vertical="center"/>
    </xf>
    <xf borderId="8" fillId="0" fontId="1" numFmtId="0" xfId="0" applyBorder="1" applyFont="1"/>
    <xf borderId="8" fillId="0" fontId="2" numFmtId="0" xfId="0" applyBorder="1" applyFont="1"/>
    <xf borderId="8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5" numFmtId="165" xfId="0" applyAlignment="1" applyFont="1" applyNumberFormat="1">
      <alignment horizontal="center"/>
    </xf>
    <xf borderId="7" fillId="3" fontId="2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1" fillId="0" fontId="3" numFmtId="0" xfId="0" applyBorder="1" applyFont="1"/>
    <xf borderId="12" fillId="0" fontId="2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 shrinkToFit="0" vertical="center" wrapText="1"/>
    </xf>
    <xf borderId="13" fillId="3" fontId="4" numFmtId="0" xfId="0" applyAlignment="1" applyBorder="1" applyFill="1" applyFont="1">
      <alignment horizontal="center" shrinkToFit="0" vertical="center" wrapText="1"/>
    </xf>
    <xf borderId="13" fillId="3" fontId="2" numFmtId="0" xfId="0" applyBorder="1" applyFill="1" applyFont="1"/>
    <xf borderId="13" fillId="3" fontId="2" numFmtId="0" xfId="0" applyAlignment="1" applyBorder="1" applyFill="1" applyFont="1">
      <alignment horizontal="center" vertical="center"/>
    </xf>
    <xf borderId="13" fillId="2" fontId="2" numFmtId="0" xfId="0" applyBorder="1" applyFill="1" applyFont="1"/>
    <xf borderId="12" fillId="0" fontId="2" numFmtId="164" xfId="0" applyAlignment="1" applyBorder="1" applyFont="1" applyNumberFormat="1">
      <alignment horizontal="center"/>
    </xf>
    <xf borderId="12" fillId="0" fontId="7" numFmtId="0" xfId="0" applyBorder="1" applyFont="1"/>
    <xf borderId="12" fillId="0" fontId="2" numFmtId="0" xfId="0" applyBorder="1" applyFont="1"/>
    <xf borderId="12" fillId="0" fontId="1" numFmtId="0" xfId="0" applyBorder="1" applyFont="1"/>
    <xf borderId="14" fillId="0" fontId="2" numFmtId="0" xfId="0" applyBorder="1" applyFont="1"/>
    <xf borderId="14" fillId="0" fontId="4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/>
    </xf>
    <xf borderId="0" fillId="0" fontId="2" numFmtId="164" xfId="0" applyAlignment="1" applyFont="1" applyNumberFormat="1">
      <alignment horizontal="center" vertical="center"/>
    </xf>
    <xf borderId="7" fillId="2" fontId="2" numFmtId="164" xfId="0" applyAlignment="1" applyBorder="1" applyFill="1" applyFont="1" applyNumberFormat="1">
      <alignment horizontal="center" vertical="center"/>
    </xf>
    <xf borderId="1" fillId="0" fontId="2" numFmtId="0" xfId="0" applyAlignment="1" applyBorder="1" applyFont="1">
      <alignment horizontal="center"/>
    </xf>
    <xf borderId="12" fillId="0" fontId="2" numFmtId="164" xfId="0" applyAlignment="1" applyBorder="1" applyFont="1" applyNumberFormat="1">
      <alignment horizontal="center" vertical="center"/>
    </xf>
    <xf borderId="13" fillId="2" fontId="2" numFmtId="164" xfId="0" applyAlignment="1" applyBorder="1" applyFill="1" applyFont="1" applyNumberFormat="1">
      <alignment horizontal="center" vertical="center"/>
    </xf>
    <xf borderId="14" fillId="0" fontId="2" numFmtId="0" xfId="0" applyAlignment="1" applyBorder="1" applyFont="1">
      <alignment horizontal="center"/>
    </xf>
    <xf borderId="0" fillId="0" fontId="0" numFmtId="0" xfId="0" applyAlignment="1" applyFont="1">
      <alignment horizontal="center" vertical="center"/>
    </xf>
    <xf borderId="0" fillId="0" fontId="0" numFmtId="164" xfId="0" applyAlignment="1" applyFont="1" applyNumberFormat="1">
      <alignment horizontal="center" vertical="center"/>
    </xf>
    <xf borderId="7" fillId="2" fontId="0" numFmtId="164" xfId="0" applyAlignment="1" applyBorder="1" applyFill="1" applyFont="1" applyNumberFormat="1">
      <alignment horizontal="center"/>
    </xf>
    <xf borderId="0" fillId="0" fontId="0" numFmtId="166" xfId="0" applyAlignment="1" applyFont="1" applyNumberFormat="1">
      <alignment horizontal="center"/>
    </xf>
    <xf borderId="7" fillId="2" fontId="0" numFmtId="0" xfId="0" applyAlignment="1" applyBorder="1" applyFill="1" applyFont="1">
      <alignment horizontal="center"/>
    </xf>
    <xf borderId="0" fillId="0" fontId="8" numFmtId="2" xfId="0" applyAlignment="1" applyFont="1" applyNumberFormat="1">
      <alignment horizontal="center"/>
    </xf>
    <xf borderId="7" fillId="2" fontId="8" numFmtId="2" xfId="0" applyAlignment="1" applyBorder="1" applyFill="1" applyFont="1" applyNumberFormat="1">
      <alignment horizontal="center"/>
    </xf>
    <xf borderId="0" fillId="0" fontId="2" numFmtId="2" xfId="0" applyAlignment="1" applyFont="1" applyNumberFormat="1">
      <alignment horizontal="center"/>
    </xf>
    <xf borderId="7" fillId="2" fontId="1" numFmtId="0" xfId="0" applyBorder="1" applyFill="1" applyFont="1"/>
    <xf borderId="7" fillId="2" fontId="2" numFmtId="0" xfId="0" applyAlignment="1" applyBorder="1" applyFill="1" applyFont="1">
      <alignment horizontal="center"/>
    </xf>
    <xf borderId="15" fillId="2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0" fillId="0" fontId="0" numFmtId="164" xfId="0" applyAlignment="1" applyFont="1" applyNumberFormat="1">
      <alignment horizontal="center"/>
    </xf>
    <xf borderId="7" fillId="2" fontId="0" numFmtId="0" xfId="0" applyAlignment="1" applyBorder="1" applyFill="1" applyFont="1">
      <alignment horizontal="center" vertical="center"/>
    </xf>
    <xf borderId="0" fillId="0" fontId="0" numFmtId="166" xfId="0" applyAlignment="1" applyFont="1" applyNumberFormat="1">
      <alignment horizontal="center" vertical="center"/>
    </xf>
    <xf borderId="7" fillId="2" fontId="2" numFmtId="2" xfId="0" applyAlignment="1" applyBorder="1" applyFill="1" applyFont="1" applyNumberFormat="1">
      <alignment horizontal="center" vertical="center"/>
    </xf>
    <xf borderId="7" fillId="2" fontId="2" numFmtId="0" xfId="0" applyAlignment="1" applyBorder="1" applyFill="1" applyFont="1">
      <alignment horizontal="center" vertical="center"/>
    </xf>
    <xf borderId="12" fillId="0" fontId="0" numFmtId="0" xfId="0" applyAlignment="1" applyBorder="1" applyFont="1">
      <alignment horizontal="center" vertical="center"/>
    </xf>
    <xf borderId="12" fillId="0" fontId="0" numFmtId="164" xfId="0" applyAlignment="1" applyBorder="1" applyFont="1" applyNumberFormat="1">
      <alignment horizontal="center"/>
    </xf>
    <xf borderId="13" fillId="2" fontId="0" numFmtId="164" xfId="0" applyAlignment="1" applyBorder="1" applyFill="1" applyFont="1" applyNumberFormat="1">
      <alignment horizontal="center"/>
    </xf>
    <xf borderId="12" fillId="0" fontId="0" numFmtId="166" xfId="0" applyAlignment="1" applyBorder="1" applyFont="1" applyNumberFormat="1">
      <alignment horizontal="center"/>
    </xf>
    <xf borderId="13" fillId="2" fontId="0" numFmtId="0" xfId="0" applyAlignment="1" applyBorder="1" applyFill="1" applyFont="1">
      <alignment horizontal="center" vertical="center"/>
    </xf>
    <xf borderId="12" fillId="0" fontId="2" numFmtId="2" xfId="0" applyAlignment="1" applyBorder="1" applyFont="1" applyNumberFormat="1">
      <alignment horizontal="center"/>
    </xf>
    <xf borderId="13" fillId="2" fontId="2" numFmtId="2" xfId="0" applyAlignment="1" applyBorder="1" applyFill="1" applyFont="1" applyNumberFormat="1">
      <alignment horizontal="center"/>
    </xf>
    <xf borderId="0" fillId="0" fontId="0" numFmtId="0" xfId="0" applyAlignment="1" applyFont="1">
      <alignment horizontal="center"/>
    </xf>
    <xf borderId="0" fillId="0" fontId="7" numFmtId="0" xfId="0" applyFont="1"/>
    <xf borderId="1" fillId="0" fontId="2" numFmtId="164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shrinkToFit="0" vertical="center" wrapText="1"/>
    </xf>
    <xf borderId="12" fillId="0" fontId="9" numFmtId="0" xfId="0" applyAlignment="1" applyBorder="1" applyFont="1">
      <alignment horizontal="center" vertical="center"/>
    </xf>
    <xf borderId="12" fillId="0" fontId="0" numFmtId="0" xfId="0" applyAlignment="1" applyBorder="1" applyFont="1">
      <alignment horizontal="center"/>
    </xf>
    <xf borderId="12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4" fillId="0" fontId="2" numFmtId="164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12" fillId="0" fontId="10" numFmtId="0" xfId="0" applyAlignment="1" applyBorder="1" applyFont="1">
      <alignment horizontal="center" vertical="center"/>
    </xf>
    <xf borderId="12" fillId="0" fontId="11" numFmtId="0" xfId="0" applyAlignment="1" applyBorder="1" applyFont="1">
      <alignment horizontal="center" shrinkToFit="0" vertical="center" wrapText="1"/>
    </xf>
    <xf borderId="12" fillId="0" fontId="13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vertical="center"/>
    </xf>
    <xf borderId="12" fillId="0" fontId="12" numFmtId="0" xfId="0" applyAlignment="1" applyBorder="1" applyFont="1">
      <alignment horizontal="center" vertical="center"/>
    </xf>
    <xf borderId="6" fillId="4" fontId="2" numFmtId="0" xfId="0" applyAlignment="1" applyBorder="1" applyFill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2" numFmtId="10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13" numFmtId="10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16" fillId="0" fontId="2" numFmtId="0" xfId="0" applyAlignment="1" applyBorder="1" applyFont="1">
      <alignment horizontal="center" vertical="center"/>
    </xf>
    <xf borderId="12" fillId="0" fontId="0" numFmtId="0" xfId="0" applyAlignment="1" applyBorder="1" applyFont="1">
      <alignment horizontal="center" shrinkToFit="0" vertical="center" wrapText="1"/>
    </xf>
    <xf borderId="0" fillId="0" fontId="0" numFmtId="0" xfId="0" applyAlignment="1" applyFont="1">
      <alignment horizontal="center"/>
    </xf>
    <xf borderId="0" fillId="0" fontId="14" numFmtId="3" xfId="0" applyAlignment="1" applyFont="1" applyNumberFormat="1">
      <alignment horizontal="center"/>
    </xf>
    <xf borderId="0" fillId="0" fontId="2" numFmtId="4" xfId="0" applyAlignment="1" applyFont="1" applyNumberFormat="1">
      <alignment horizontal="center"/>
    </xf>
    <xf borderId="0" fillId="0" fontId="14" numFmtId="4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12" fillId="0" fontId="5" numFmtId="165" xfId="0" applyAlignment="1" applyBorder="1" applyFont="1" applyNumberFormat="1">
      <alignment horizontal="center"/>
    </xf>
    <xf borderId="13" fillId="2" fontId="2" numFmtId="0" xfId="0" applyAlignment="1" applyBorder="1" applyFill="1" applyFont="1">
      <alignment horizontal="center" vertical="center"/>
    </xf>
    <xf borderId="12" fillId="0" fontId="2" numFmtId="2" xfId="0" applyAlignment="1" applyBorder="1" applyFont="1" applyNumberFormat="1">
      <alignment horizontal="center" vertical="center"/>
    </xf>
    <xf borderId="13" fillId="2" fontId="2" numFmtId="2" xfId="0" applyAlignment="1" applyBorder="1" applyFill="1" applyFont="1" applyNumberFormat="1">
      <alignment horizontal="center" vertical="center"/>
    </xf>
    <xf borderId="7" fillId="3" fontId="2" numFmtId="0" xfId="0" applyAlignment="1" applyBorder="1" applyFill="1" applyFont="1">
      <alignment horizontal="center"/>
    </xf>
    <xf borderId="9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4.29"/>
    <col customWidth="1" min="5" max="5" width="13.29"/>
    <col customWidth="1" min="6" max="7" width="10.71"/>
    <col customWidth="1" min="8" max="8" width="19.0"/>
    <col customWidth="1" min="9" max="9" width="18.0"/>
    <col customWidth="1" min="10" max="10" width="12.29"/>
    <col customWidth="1" min="11" max="11" width="22.86"/>
    <col customWidth="1" min="12" max="12" width="19.86"/>
    <col customWidth="1" min="13" max="13" width="12.29"/>
    <col customWidth="1" min="14" max="14" width="15.43"/>
    <col customWidth="1" min="15" max="15" width="14.86"/>
    <col customWidth="1" min="16" max="16" width="15.43"/>
    <col customWidth="1" min="17" max="17" width="21.0"/>
    <col customWidth="1" min="18" max="18" width="16.71"/>
    <col customWidth="1" min="19" max="52" width="10.71"/>
  </cols>
  <sheetData>
    <row r="16">
      <c r="D16" s="1"/>
      <c r="E16" s="1"/>
    </row>
    <row r="17" ht="14.25" customHeight="1">
      <c r="G17" s="2"/>
      <c r="H17" s="3" t="s">
        <v>0</v>
      </c>
      <c r="I17" s="4"/>
      <c r="J17" s="4"/>
      <c r="K17" s="4"/>
      <c r="L17" s="4"/>
      <c r="M17" s="4"/>
      <c r="N17" s="5"/>
      <c r="O17" s="3" t="s">
        <v>1</v>
      </c>
      <c r="P17" s="4"/>
      <c r="Q17" s="4"/>
      <c r="R17" s="4"/>
      <c r="S17" s="5"/>
      <c r="T17" s="3" t="s">
        <v>2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5"/>
      <c r="AN17" s="3" t="s">
        <v>3</v>
      </c>
      <c r="AO17" s="4"/>
      <c r="AP17" s="4"/>
      <c r="AQ17" s="4"/>
      <c r="AR17" s="4"/>
      <c r="AS17" s="4"/>
      <c r="AT17" s="5"/>
      <c r="AU17" s="3" t="s">
        <v>4</v>
      </c>
      <c r="AV17" s="4"/>
      <c r="AW17" s="4"/>
      <c r="AX17" s="4"/>
      <c r="AY17" s="4"/>
      <c r="AZ17" s="5"/>
    </row>
    <row r="18" ht="14.25" customHeight="1">
      <c r="A18" s="6" t="s">
        <v>5</v>
      </c>
      <c r="B18" s="6" t="s">
        <v>6</v>
      </c>
      <c r="C18" s="6" t="s">
        <v>7</v>
      </c>
      <c r="D18" s="6" t="s">
        <v>8</v>
      </c>
      <c r="E18" s="6" t="s">
        <v>9</v>
      </c>
      <c r="F18" s="6" t="s">
        <v>10</v>
      </c>
      <c r="G18" s="6" t="s">
        <v>11</v>
      </c>
      <c r="H18" s="7" t="s">
        <v>12</v>
      </c>
      <c r="I18" s="6" t="s">
        <v>13</v>
      </c>
      <c r="J18" s="6" t="s">
        <v>14</v>
      </c>
      <c r="K18" s="6" t="s">
        <v>15</v>
      </c>
      <c r="L18" s="3" t="s">
        <v>16</v>
      </c>
      <c r="M18" s="6" t="s">
        <v>17</v>
      </c>
      <c r="N18" s="7" t="s">
        <v>18</v>
      </c>
      <c r="O18" s="7" t="s">
        <v>19</v>
      </c>
      <c r="P18" s="6" t="s">
        <v>20</v>
      </c>
      <c r="Q18" s="6" t="s">
        <v>21</v>
      </c>
      <c r="R18" s="6" t="s">
        <v>22</v>
      </c>
      <c r="S18" s="6" t="s">
        <v>23</v>
      </c>
      <c r="T18" s="7">
        <v>3.0</v>
      </c>
      <c r="U18" s="6">
        <v>6.0</v>
      </c>
      <c r="V18" s="6">
        <v>10.0</v>
      </c>
      <c r="W18" s="7">
        <v>15.0</v>
      </c>
      <c r="X18" s="6">
        <v>20.0</v>
      </c>
      <c r="Y18" s="6">
        <v>30.0</v>
      </c>
      <c r="Z18" s="6">
        <v>45.0</v>
      </c>
      <c r="AA18" s="6">
        <v>60.0</v>
      </c>
      <c r="AB18" s="6">
        <v>75.0</v>
      </c>
      <c r="AC18" s="6">
        <v>90.0</v>
      </c>
      <c r="AD18" s="6">
        <v>105.0</v>
      </c>
      <c r="AE18" s="6">
        <v>120.0</v>
      </c>
      <c r="AF18" s="6">
        <f t="shared" ref="AF18:AM18" si="1">AE18+15</f>
        <v>135</v>
      </c>
      <c r="AG18" s="6">
        <f t="shared" si="1"/>
        <v>150</v>
      </c>
      <c r="AH18" s="6">
        <f t="shared" si="1"/>
        <v>165</v>
      </c>
      <c r="AI18" s="6">
        <f t="shared" si="1"/>
        <v>180</v>
      </c>
      <c r="AJ18" s="6">
        <f t="shared" si="1"/>
        <v>195</v>
      </c>
      <c r="AK18" s="6">
        <f t="shared" si="1"/>
        <v>210</v>
      </c>
      <c r="AL18" s="6">
        <f t="shared" si="1"/>
        <v>225</v>
      </c>
      <c r="AM18" s="6">
        <f t="shared" si="1"/>
        <v>240</v>
      </c>
      <c r="AN18" s="7">
        <v>4.0</v>
      </c>
      <c r="AO18" s="6">
        <v>6.0</v>
      </c>
      <c r="AP18" s="8">
        <v>8.0</v>
      </c>
      <c r="AQ18" s="6">
        <v>10.0</v>
      </c>
      <c r="AR18" s="6">
        <v>12.0</v>
      </c>
      <c r="AS18" s="6">
        <v>20.0</v>
      </c>
      <c r="AT18" s="6">
        <v>24.0</v>
      </c>
      <c r="AU18" s="7">
        <v>1.0</v>
      </c>
      <c r="AV18" s="6">
        <v>1.25</v>
      </c>
      <c r="AW18" s="6">
        <v>3.0</v>
      </c>
      <c r="AX18" s="6">
        <v>7.0</v>
      </c>
      <c r="AY18" s="6">
        <v>28.0</v>
      </c>
      <c r="AZ18" s="6">
        <v>98.0</v>
      </c>
    </row>
    <row r="19" ht="14.25" customHeight="1">
      <c r="A19" s="9" t="s">
        <v>24</v>
      </c>
      <c r="B19" s="10" t="s">
        <v>25</v>
      </c>
      <c r="C19" s="10">
        <v>0.45</v>
      </c>
      <c r="D19" s="10" t="s">
        <v>26</v>
      </c>
      <c r="E19" s="11" t="s">
        <v>27</v>
      </c>
      <c r="F19" s="12">
        <v>125.0</v>
      </c>
      <c r="G19" s="13">
        <v>5.0</v>
      </c>
      <c r="H19" s="14"/>
      <c r="I19" s="15"/>
      <c r="J19" s="16"/>
      <c r="K19" s="16"/>
      <c r="L19" s="15"/>
      <c r="M19" s="15"/>
      <c r="N19" s="15"/>
      <c r="O19" s="17"/>
      <c r="P19" s="18"/>
      <c r="Q19" s="12" t="s">
        <v>28</v>
      </c>
      <c r="R19" s="18"/>
      <c r="S19" s="19">
        <v>287.29460843564993</v>
      </c>
      <c r="T19" s="11" t="s">
        <v>29</v>
      </c>
      <c r="U19" s="11" t="s">
        <v>30</v>
      </c>
      <c r="V19" s="11" t="s">
        <v>31</v>
      </c>
      <c r="W19" s="20"/>
      <c r="X19" s="21"/>
      <c r="Y19" s="22"/>
      <c r="Z19" s="20"/>
      <c r="AA19" s="20"/>
      <c r="AF19" s="10"/>
      <c r="AG19" s="10"/>
      <c r="AH19" s="10"/>
      <c r="AM19" s="2"/>
      <c r="AN19" s="22"/>
      <c r="AO19" s="23" t="s">
        <v>32</v>
      </c>
      <c r="AP19" s="22"/>
      <c r="AQ19" s="22"/>
      <c r="AR19" s="23" t="s">
        <v>33</v>
      </c>
      <c r="AS19" s="21"/>
      <c r="AT19" s="24" t="s">
        <v>34</v>
      </c>
      <c r="AV19" s="25" t="s">
        <v>35</v>
      </c>
      <c r="AW19" s="22"/>
      <c r="AX19" s="25" t="s">
        <v>36</v>
      </c>
      <c r="AY19" s="25" t="s">
        <v>37</v>
      </c>
      <c r="AZ19" s="2"/>
    </row>
    <row r="20" ht="14.25" customHeight="1">
      <c r="A20" s="26"/>
      <c r="B20" s="10" t="s">
        <v>25</v>
      </c>
      <c r="C20" s="10">
        <v>0.45</v>
      </c>
      <c r="D20" s="10" t="s">
        <v>26</v>
      </c>
      <c r="E20" s="11" t="s">
        <v>27</v>
      </c>
      <c r="F20" s="12">
        <v>125.0</v>
      </c>
      <c r="G20" s="13">
        <v>7.0</v>
      </c>
      <c r="H20" s="14"/>
      <c r="I20" s="15"/>
      <c r="J20" s="16"/>
      <c r="K20" s="16"/>
      <c r="L20" s="15"/>
      <c r="M20" s="15"/>
      <c r="N20" s="15"/>
      <c r="O20" s="11"/>
      <c r="P20" s="18"/>
      <c r="Q20" s="11" t="s">
        <v>38</v>
      </c>
      <c r="R20" s="18"/>
      <c r="S20" s="19">
        <v>274.29027301929995</v>
      </c>
      <c r="T20" s="11" t="s">
        <v>39</v>
      </c>
      <c r="U20" s="11" t="s">
        <v>40</v>
      </c>
      <c r="V20" s="11" t="s">
        <v>41</v>
      </c>
      <c r="X20" s="1"/>
      <c r="AB20" s="10"/>
      <c r="AC20" s="10"/>
      <c r="AD20" s="10"/>
      <c r="AE20" s="10"/>
      <c r="AF20" s="10"/>
      <c r="AG20" s="10"/>
      <c r="AH20" s="10"/>
      <c r="AM20" s="2"/>
      <c r="AO20" s="13" t="s">
        <v>42</v>
      </c>
      <c r="AR20" s="13" t="s">
        <v>43</v>
      </c>
      <c r="AS20" s="1"/>
      <c r="AT20" s="27" t="s">
        <v>44</v>
      </c>
      <c r="AV20" s="11" t="s">
        <v>45</v>
      </c>
      <c r="AX20" s="11" t="s">
        <v>46</v>
      </c>
      <c r="AY20" s="11" t="s">
        <v>47</v>
      </c>
      <c r="AZ20" s="2"/>
    </row>
    <row r="21" ht="14.25" customHeight="1">
      <c r="A21" s="26"/>
      <c r="B21" s="10" t="s">
        <v>25</v>
      </c>
      <c r="C21" s="10">
        <v>0.45</v>
      </c>
      <c r="D21" s="10" t="s">
        <v>26</v>
      </c>
      <c r="E21" s="11" t="s">
        <v>27</v>
      </c>
      <c r="F21" s="12">
        <v>125.0</v>
      </c>
      <c r="G21" s="13">
        <v>9.0</v>
      </c>
      <c r="H21" s="14"/>
      <c r="I21" s="15"/>
      <c r="J21" s="16"/>
      <c r="K21" s="16"/>
      <c r="L21" s="15"/>
      <c r="M21" s="15"/>
      <c r="N21" s="15"/>
      <c r="P21" s="18"/>
      <c r="Q21" s="11" t="s">
        <v>48</v>
      </c>
      <c r="R21" s="18"/>
      <c r="S21" s="19">
        <v>185.91158621915002</v>
      </c>
      <c r="T21" s="11" t="s">
        <v>49</v>
      </c>
      <c r="U21" s="11" t="s">
        <v>50</v>
      </c>
      <c r="V21" s="11" t="s">
        <v>50</v>
      </c>
      <c r="X21" s="1"/>
      <c r="AB21" s="10"/>
      <c r="AC21" s="10"/>
      <c r="AD21" s="10"/>
      <c r="AE21" s="10"/>
      <c r="AF21" s="10"/>
      <c r="AG21" s="10"/>
      <c r="AH21" s="10"/>
      <c r="AM21" s="2"/>
      <c r="AO21" s="13" t="s">
        <v>51</v>
      </c>
      <c r="AR21" s="13" t="s">
        <v>52</v>
      </c>
      <c r="AS21" s="1"/>
      <c r="AT21" s="27" t="s">
        <v>53</v>
      </c>
      <c r="AV21" s="11" t="s">
        <v>54</v>
      </c>
      <c r="AX21" s="11" t="s">
        <v>55</v>
      </c>
      <c r="AY21" s="11" t="s">
        <v>56</v>
      </c>
      <c r="AZ21" s="2"/>
    </row>
    <row r="22" ht="14.25" customHeight="1">
      <c r="A22" s="26"/>
      <c r="B22" s="10" t="s">
        <v>25</v>
      </c>
      <c r="C22" s="10">
        <v>0.45</v>
      </c>
      <c r="D22" s="10" t="s">
        <v>26</v>
      </c>
      <c r="E22" s="11" t="s">
        <v>27</v>
      </c>
      <c r="F22" s="12" t="s">
        <v>57</v>
      </c>
      <c r="G22" s="13">
        <v>5.0</v>
      </c>
      <c r="H22" s="14"/>
      <c r="I22" s="15"/>
      <c r="J22" s="16"/>
      <c r="K22" s="16"/>
      <c r="L22" s="15"/>
      <c r="M22" s="15"/>
      <c r="N22" s="15"/>
      <c r="P22" s="18"/>
      <c r="Q22" s="11" t="s">
        <v>58</v>
      </c>
      <c r="R22" s="18"/>
      <c r="S22" s="19">
        <v>203.9635909174</v>
      </c>
      <c r="T22" s="11" t="s">
        <v>59</v>
      </c>
      <c r="U22" s="11" t="s">
        <v>60</v>
      </c>
      <c r="V22" s="11" t="s">
        <v>61</v>
      </c>
      <c r="X22" s="11" t="s">
        <v>62</v>
      </c>
      <c r="Y22" s="11" t="s">
        <v>63</v>
      </c>
      <c r="AB22" s="10"/>
      <c r="AC22" s="10"/>
      <c r="AD22" s="10"/>
      <c r="AE22" s="10"/>
      <c r="AF22" s="10"/>
      <c r="AG22" s="10"/>
      <c r="AH22" s="10"/>
      <c r="AM22" s="2"/>
      <c r="AN22" s="13" t="s">
        <v>64</v>
      </c>
      <c r="AO22" s="13" t="s">
        <v>65</v>
      </c>
      <c r="AR22" s="13" t="s">
        <v>66</v>
      </c>
      <c r="AT22" s="27" t="s">
        <v>67</v>
      </c>
      <c r="AV22" s="13" t="s">
        <v>68</v>
      </c>
      <c r="AX22" s="13" t="s">
        <v>69</v>
      </c>
      <c r="AY22" s="13" t="s">
        <v>70</v>
      </c>
      <c r="AZ22" s="2"/>
    </row>
    <row r="23" ht="14.25" customHeight="1">
      <c r="A23" s="26"/>
      <c r="B23" s="10" t="s">
        <v>25</v>
      </c>
      <c r="C23" s="10">
        <v>0.45</v>
      </c>
      <c r="D23" s="10" t="s">
        <v>26</v>
      </c>
      <c r="E23" s="11" t="s">
        <v>27</v>
      </c>
      <c r="F23" s="12" t="s">
        <v>57</v>
      </c>
      <c r="G23" s="13">
        <v>7.0</v>
      </c>
      <c r="H23" s="14"/>
      <c r="I23" s="15"/>
      <c r="J23" s="16"/>
      <c r="K23" s="15"/>
      <c r="L23" s="15"/>
      <c r="M23" s="15"/>
      <c r="N23" s="15"/>
      <c r="P23" s="18"/>
      <c r="Q23" s="11" t="s">
        <v>71</v>
      </c>
      <c r="R23" s="18"/>
      <c r="S23" s="19">
        <v>204.37259299335014</v>
      </c>
      <c r="T23" s="11" t="s">
        <v>72</v>
      </c>
      <c r="U23" s="11" t="s">
        <v>73</v>
      </c>
      <c r="V23" s="11" t="s">
        <v>74</v>
      </c>
      <c r="X23" s="11" t="s">
        <v>75</v>
      </c>
      <c r="Y23" s="11" t="s">
        <v>50</v>
      </c>
      <c r="AB23" s="10"/>
      <c r="AC23" s="10"/>
      <c r="AD23" s="10"/>
      <c r="AE23" s="10"/>
      <c r="AF23" s="10"/>
      <c r="AG23" s="10"/>
      <c r="AH23" s="10"/>
      <c r="AM23" s="2"/>
      <c r="AN23" s="13" t="s">
        <v>76</v>
      </c>
      <c r="AO23" s="13" t="s">
        <v>77</v>
      </c>
      <c r="AR23" s="13" t="s">
        <v>78</v>
      </c>
      <c r="AT23" s="27" t="s">
        <v>79</v>
      </c>
      <c r="AV23" s="13" t="s">
        <v>80</v>
      </c>
      <c r="AX23" s="13" t="s">
        <v>81</v>
      </c>
      <c r="AY23" s="13" t="s">
        <v>82</v>
      </c>
      <c r="AZ23" s="2"/>
    </row>
    <row r="24" ht="14.25" customHeight="1">
      <c r="A24" s="26"/>
      <c r="B24" s="10" t="s">
        <v>25</v>
      </c>
      <c r="C24" s="10">
        <v>0.45</v>
      </c>
      <c r="D24" s="10" t="s">
        <v>26</v>
      </c>
      <c r="E24" s="11" t="s">
        <v>27</v>
      </c>
      <c r="F24" s="12" t="s">
        <v>57</v>
      </c>
      <c r="G24" s="13">
        <v>9.0</v>
      </c>
      <c r="H24" s="14"/>
      <c r="I24" s="15"/>
      <c r="J24" s="16"/>
      <c r="K24" s="15"/>
      <c r="L24" s="15"/>
      <c r="M24" s="15"/>
      <c r="N24" s="15"/>
      <c r="P24" s="18"/>
      <c r="Q24" s="11" t="s">
        <v>83</v>
      </c>
      <c r="R24" s="18"/>
      <c r="S24" s="19">
        <v>237.5207628471</v>
      </c>
      <c r="T24" s="11" t="s">
        <v>84</v>
      </c>
      <c r="U24" s="11" t="s">
        <v>85</v>
      </c>
      <c r="V24" s="11" t="s">
        <v>86</v>
      </c>
      <c r="X24" s="11" t="s">
        <v>50</v>
      </c>
      <c r="Y24" s="11" t="s">
        <v>50</v>
      </c>
      <c r="AB24" s="1"/>
      <c r="AC24" s="1"/>
      <c r="AD24" s="10"/>
      <c r="AE24" s="10"/>
      <c r="AF24" s="10"/>
      <c r="AG24" s="10"/>
      <c r="AH24" s="10"/>
      <c r="AM24" s="2"/>
      <c r="AN24" s="13" t="s">
        <v>87</v>
      </c>
      <c r="AO24" s="13" t="s">
        <v>88</v>
      </c>
      <c r="AR24" s="13" t="s">
        <v>89</v>
      </c>
      <c r="AT24" s="27" t="s">
        <v>90</v>
      </c>
      <c r="AV24" s="13" t="s">
        <v>91</v>
      </c>
      <c r="AX24" s="13" t="s">
        <v>92</v>
      </c>
      <c r="AY24" s="13" t="s">
        <v>93</v>
      </c>
      <c r="AZ24" s="2"/>
    </row>
    <row r="25" ht="14.25" customHeight="1">
      <c r="A25" s="26"/>
      <c r="B25" s="10" t="s">
        <v>25</v>
      </c>
      <c r="C25" s="10">
        <v>0.45</v>
      </c>
      <c r="D25" s="10" t="s">
        <v>94</v>
      </c>
      <c r="E25" s="11" t="s">
        <v>27</v>
      </c>
      <c r="F25" s="12">
        <v>125.0</v>
      </c>
      <c r="G25" s="13">
        <v>5.0</v>
      </c>
      <c r="H25" s="14"/>
      <c r="I25" s="15"/>
      <c r="J25" s="16"/>
      <c r="K25" s="15"/>
      <c r="L25" s="15"/>
      <c r="M25" s="15"/>
      <c r="N25" s="15"/>
      <c r="O25" s="11" t="s">
        <v>95</v>
      </c>
      <c r="P25" s="18"/>
      <c r="Q25" s="11"/>
      <c r="R25" s="18"/>
      <c r="S25" s="19">
        <v>91.09184946055001</v>
      </c>
      <c r="T25" s="11" t="s">
        <v>96</v>
      </c>
      <c r="U25" s="11" t="s">
        <v>96</v>
      </c>
      <c r="V25" s="11" t="s">
        <v>97</v>
      </c>
      <c r="X25" s="11" t="s">
        <v>49</v>
      </c>
      <c r="Y25" s="11" t="s">
        <v>98</v>
      </c>
      <c r="AB25" s="1"/>
      <c r="AD25" s="10"/>
      <c r="AE25" s="10"/>
      <c r="AF25" s="10"/>
      <c r="AG25" s="10"/>
      <c r="AH25" s="10"/>
      <c r="AJ25" s="1"/>
      <c r="AM25" s="2"/>
      <c r="AN25" s="13" t="s">
        <v>50</v>
      </c>
      <c r="AO25" s="13" t="s">
        <v>50</v>
      </c>
      <c r="AQ25" s="13" t="s">
        <v>99</v>
      </c>
      <c r="AT25" s="27" t="s">
        <v>100</v>
      </c>
      <c r="AV25" s="13" t="s">
        <v>101</v>
      </c>
      <c r="AX25" s="13" t="s">
        <v>102</v>
      </c>
      <c r="AY25" s="13" t="s">
        <v>103</v>
      </c>
      <c r="AZ25" s="2"/>
    </row>
    <row r="26" ht="14.25" customHeight="1">
      <c r="A26" s="26"/>
      <c r="B26" s="10" t="s">
        <v>25</v>
      </c>
      <c r="C26" s="10">
        <v>0.45</v>
      </c>
      <c r="D26" s="10" t="s">
        <v>94</v>
      </c>
      <c r="E26" s="11" t="s">
        <v>27</v>
      </c>
      <c r="F26" s="12">
        <v>125.0</v>
      </c>
      <c r="G26" s="13">
        <v>7.0</v>
      </c>
      <c r="H26" s="14"/>
      <c r="I26" s="15"/>
      <c r="J26" s="16"/>
      <c r="K26" s="15"/>
      <c r="L26" s="15"/>
      <c r="M26" s="15"/>
      <c r="N26" s="15"/>
      <c r="O26" s="11" t="s">
        <v>104</v>
      </c>
      <c r="P26" s="18"/>
      <c r="Q26" s="11"/>
      <c r="R26" s="18"/>
      <c r="S26" s="19">
        <v>166.1912693153499</v>
      </c>
      <c r="T26" s="11" t="s">
        <v>105</v>
      </c>
      <c r="U26" s="11" t="s">
        <v>106</v>
      </c>
      <c r="V26" s="11" t="s">
        <v>107</v>
      </c>
      <c r="X26" s="11" t="s">
        <v>108</v>
      </c>
      <c r="Y26" s="11" t="s">
        <v>50</v>
      </c>
      <c r="AB26" s="28"/>
      <c r="AC26" s="28"/>
      <c r="AD26" s="28"/>
      <c r="AE26" s="28"/>
      <c r="AF26" s="28"/>
      <c r="AG26" s="28"/>
      <c r="AH26" s="28"/>
      <c r="AM26" s="2"/>
      <c r="AN26" s="13" t="s">
        <v>50</v>
      </c>
      <c r="AO26" s="13" t="s">
        <v>109</v>
      </c>
      <c r="AQ26" s="13" t="s">
        <v>110</v>
      </c>
      <c r="AT26" s="27" t="s">
        <v>111</v>
      </c>
      <c r="AV26" s="13" t="s">
        <v>112</v>
      </c>
      <c r="AX26" s="13" t="s">
        <v>113</v>
      </c>
      <c r="AY26" s="13" t="s">
        <v>114</v>
      </c>
      <c r="AZ26" s="2"/>
    </row>
    <row r="27" ht="14.25" customHeight="1">
      <c r="A27" s="26"/>
      <c r="B27" s="10" t="s">
        <v>25</v>
      </c>
      <c r="C27" s="10">
        <v>0.45</v>
      </c>
      <c r="D27" s="10" t="s">
        <v>94</v>
      </c>
      <c r="E27" s="11" t="s">
        <v>27</v>
      </c>
      <c r="F27" s="12">
        <v>125.0</v>
      </c>
      <c r="G27" s="13">
        <v>9.0</v>
      </c>
      <c r="H27" s="14"/>
      <c r="I27" s="15"/>
      <c r="J27" s="16"/>
      <c r="K27" s="15"/>
      <c r="L27" s="15"/>
      <c r="M27" s="15"/>
      <c r="N27" s="15"/>
      <c r="O27" s="11" t="s">
        <v>115</v>
      </c>
      <c r="P27" s="18"/>
      <c r="Q27" s="11"/>
      <c r="R27" s="18"/>
      <c r="S27" s="19">
        <v>169.10365791065</v>
      </c>
      <c r="T27" s="11" t="s">
        <v>116</v>
      </c>
      <c r="U27" s="11" t="s">
        <v>85</v>
      </c>
      <c r="V27" s="11" t="s">
        <v>117</v>
      </c>
      <c r="X27" s="11" t="s">
        <v>50</v>
      </c>
      <c r="Y27" s="11" t="s">
        <v>50</v>
      </c>
      <c r="AB27" s="10"/>
      <c r="AC27" s="10"/>
      <c r="AD27" s="10"/>
      <c r="AE27" s="10"/>
      <c r="AF27" s="10"/>
      <c r="AG27" s="10"/>
      <c r="AH27" s="10"/>
      <c r="AM27" s="2"/>
      <c r="AN27" s="13" t="s">
        <v>118</v>
      </c>
      <c r="AO27" s="13" t="s">
        <v>119</v>
      </c>
      <c r="AQ27" s="13" t="s">
        <v>120</v>
      </c>
      <c r="AT27" s="27" t="s">
        <v>121</v>
      </c>
      <c r="AV27" s="13" t="s">
        <v>122</v>
      </c>
      <c r="AX27" s="13" t="s">
        <v>123</v>
      </c>
      <c r="AY27" s="13" t="s">
        <v>124</v>
      </c>
      <c r="AZ27" s="2"/>
    </row>
    <row r="28" ht="14.25" customHeight="1">
      <c r="A28" s="26"/>
      <c r="B28" s="10" t="s">
        <v>25</v>
      </c>
      <c r="C28" s="10">
        <v>0.45</v>
      </c>
      <c r="D28" s="10" t="s">
        <v>94</v>
      </c>
      <c r="E28" s="11" t="s">
        <v>27</v>
      </c>
      <c r="F28" s="12" t="s">
        <v>57</v>
      </c>
      <c r="G28" s="13">
        <v>5.0</v>
      </c>
      <c r="H28" s="14"/>
      <c r="I28" s="15"/>
      <c r="J28" s="16"/>
      <c r="K28" s="15"/>
      <c r="L28" s="15"/>
      <c r="M28" s="15"/>
      <c r="N28" s="15"/>
      <c r="O28" s="29">
        <v>7.76354</v>
      </c>
      <c r="P28" s="18"/>
      <c r="Q28" s="11" t="s">
        <v>125</v>
      </c>
      <c r="R28" s="18"/>
      <c r="S28" s="19">
        <v>249.53977968370006</v>
      </c>
      <c r="T28" s="11" t="s">
        <v>126</v>
      </c>
      <c r="U28" s="11" t="s">
        <v>127</v>
      </c>
      <c r="V28" s="11" t="s">
        <v>72</v>
      </c>
      <c r="X28" s="11" t="s">
        <v>128</v>
      </c>
      <c r="Y28" s="11" t="s">
        <v>129</v>
      </c>
      <c r="AB28" s="1"/>
      <c r="AD28" s="1"/>
      <c r="AE28" s="1"/>
      <c r="AF28" s="10"/>
      <c r="AG28" s="10"/>
      <c r="AH28" s="10"/>
      <c r="AM28" s="2"/>
      <c r="AN28" s="10"/>
      <c r="AO28" s="13" t="s">
        <v>130</v>
      </c>
      <c r="AR28" s="13" t="s">
        <v>131</v>
      </c>
      <c r="AT28" s="27" t="s">
        <v>132</v>
      </c>
      <c r="AV28" s="13" t="s">
        <v>133</v>
      </c>
      <c r="AX28" s="13" t="s">
        <v>134</v>
      </c>
      <c r="AY28" s="13" t="s">
        <v>135</v>
      </c>
      <c r="AZ28" s="2"/>
    </row>
    <row r="29" ht="14.25" customHeight="1">
      <c r="A29" s="26"/>
      <c r="B29" s="10" t="s">
        <v>25</v>
      </c>
      <c r="C29" s="10">
        <v>0.45</v>
      </c>
      <c r="D29" s="10" t="s">
        <v>94</v>
      </c>
      <c r="E29" s="11" t="s">
        <v>27</v>
      </c>
      <c r="F29" s="12" t="s">
        <v>57</v>
      </c>
      <c r="G29" s="13">
        <v>7.0</v>
      </c>
      <c r="H29" s="14"/>
      <c r="I29" s="15"/>
      <c r="J29" s="15"/>
      <c r="K29" s="30"/>
      <c r="L29" s="30"/>
      <c r="M29" s="15"/>
      <c r="N29" s="15"/>
      <c r="O29" s="11"/>
      <c r="P29" s="18"/>
      <c r="Q29" s="11" t="s">
        <v>136</v>
      </c>
      <c r="R29" s="18"/>
      <c r="S29" s="19">
        <v>321.58851223870005</v>
      </c>
      <c r="T29" s="11" t="s">
        <v>39</v>
      </c>
      <c r="U29" s="11" t="s">
        <v>85</v>
      </c>
      <c r="V29" s="11" t="s">
        <v>63</v>
      </c>
      <c r="X29" s="11" t="s">
        <v>50</v>
      </c>
      <c r="Y29" s="11" t="s">
        <v>50</v>
      </c>
      <c r="AB29" s="1"/>
      <c r="AD29" s="1"/>
      <c r="AE29" s="1"/>
      <c r="AF29" s="10"/>
      <c r="AG29" s="10"/>
      <c r="AH29" s="10"/>
      <c r="AM29" s="2"/>
      <c r="AN29" s="10"/>
      <c r="AO29" s="13" t="s">
        <v>137</v>
      </c>
      <c r="AR29" s="13" t="s">
        <v>138</v>
      </c>
      <c r="AT29" s="27" t="s">
        <v>139</v>
      </c>
      <c r="AV29" s="13" t="s">
        <v>140</v>
      </c>
      <c r="AX29" s="13" t="s">
        <v>141</v>
      </c>
      <c r="AY29" s="13" t="s">
        <v>142</v>
      </c>
      <c r="AZ29" s="2"/>
    </row>
    <row r="30" ht="14.25" customHeight="1">
      <c r="A30" s="26"/>
      <c r="B30" s="10" t="s">
        <v>25</v>
      </c>
      <c r="C30" s="10">
        <v>0.45</v>
      </c>
      <c r="D30" s="10" t="s">
        <v>94</v>
      </c>
      <c r="E30" s="11" t="s">
        <v>27</v>
      </c>
      <c r="F30" s="12" t="s">
        <v>57</v>
      </c>
      <c r="G30" s="13">
        <v>9.0</v>
      </c>
      <c r="H30" s="14"/>
      <c r="I30" s="15"/>
      <c r="J30" s="15"/>
      <c r="K30" s="30"/>
      <c r="L30" s="30"/>
      <c r="M30" s="15"/>
      <c r="N30" s="15"/>
      <c r="O30" s="11"/>
      <c r="P30" s="18"/>
      <c r="Q30" s="11" t="s">
        <v>143</v>
      </c>
      <c r="R30" s="18"/>
      <c r="S30" s="19">
        <v>330.8756862260001</v>
      </c>
      <c r="T30" s="11" t="s">
        <v>144</v>
      </c>
      <c r="U30" s="11" t="s">
        <v>128</v>
      </c>
      <c r="V30" s="11" t="s">
        <v>108</v>
      </c>
      <c r="X30" s="11" t="s">
        <v>50</v>
      </c>
      <c r="Y30" s="11" t="s">
        <v>50</v>
      </c>
      <c r="AB30" s="1"/>
      <c r="AD30" s="1"/>
      <c r="AE30" s="1"/>
      <c r="AF30" s="10"/>
      <c r="AG30" s="10"/>
      <c r="AH30" s="10"/>
      <c r="AM30" s="2"/>
      <c r="AN30" s="10"/>
      <c r="AO30" s="13" t="s">
        <v>145</v>
      </c>
      <c r="AR30" s="13" t="s">
        <v>146</v>
      </c>
      <c r="AT30" s="27" t="s">
        <v>147</v>
      </c>
      <c r="AV30" s="13" t="s">
        <v>148</v>
      </c>
      <c r="AX30" s="13" t="s">
        <v>149</v>
      </c>
      <c r="AY30" s="13" t="s">
        <v>150</v>
      </c>
      <c r="AZ30" s="2"/>
    </row>
    <row r="31" ht="14.25" customHeight="1">
      <c r="A31" s="26"/>
      <c r="B31" s="10" t="s">
        <v>25</v>
      </c>
      <c r="C31" s="10">
        <v>0.45</v>
      </c>
      <c r="D31" s="10" t="s">
        <v>26</v>
      </c>
      <c r="E31" s="13" t="s">
        <v>27</v>
      </c>
      <c r="F31" s="12" t="s">
        <v>151</v>
      </c>
      <c r="G31" s="13">
        <v>5.0</v>
      </c>
      <c r="H31" s="14"/>
      <c r="I31" s="15"/>
      <c r="J31" s="15"/>
      <c r="K31" s="30"/>
      <c r="L31" s="30"/>
      <c r="M31" s="15"/>
      <c r="N31" s="15"/>
      <c r="O31" s="11"/>
      <c r="P31" s="18"/>
      <c r="Q31" s="11" t="s">
        <v>152</v>
      </c>
      <c r="R31" s="18"/>
      <c r="S31" s="19">
        <v>182.51073035525013</v>
      </c>
      <c r="T31" s="11" t="s">
        <v>153</v>
      </c>
      <c r="U31" s="11" t="s">
        <v>72</v>
      </c>
      <c r="V31" s="11" t="s">
        <v>154</v>
      </c>
      <c r="X31" s="11" t="s">
        <v>117</v>
      </c>
      <c r="Y31" s="1"/>
      <c r="AB31" s="1"/>
      <c r="AD31" s="1"/>
      <c r="AE31" s="1"/>
      <c r="AF31" s="10"/>
      <c r="AG31" s="10"/>
      <c r="AH31" s="10"/>
      <c r="AM31" s="2"/>
      <c r="AN31" s="13"/>
      <c r="AO31" s="11" t="s">
        <v>155</v>
      </c>
      <c r="AR31" s="11" t="s">
        <v>156</v>
      </c>
      <c r="AT31" s="31" t="s">
        <v>157</v>
      </c>
      <c r="AV31" s="11" t="s">
        <v>158</v>
      </c>
      <c r="AX31" s="11" t="s">
        <v>159</v>
      </c>
      <c r="AY31" s="11" t="s">
        <v>160</v>
      </c>
      <c r="AZ31" s="2"/>
    </row>
    <row r="32" ht="14.25" customHeight="1">
      <c r="A32" s="26"/>
      <c r="B32" s="10" t="s">
        <v>25</v>
      </c>
      <c r="C32" s="10">
        <v>0.45</v>
      </c>
      <c r="D32" s="10" t="s">
        <v>26</v>
      </c>
      <c r="E32" s="13" t="s">
        <v>27</v>
      </c>
      <c r="F32" s="12" t="s">
        <v>151</v>
      </c>
      <c r="G32" s="13">
        <v>7.0</v>
      </c>
      <c r="H32" s="14"/>
      <c r="I32" s="15"/>
      <c r="J32" s="15"/>
      <c r="K32" s="30"/>
      <c r="L32" s="15"/>
      <c r="M32" s="15"/>
      <c r="N32" s="15"/>
      <c r="O32" s="11"/>
      <c r="P32" s="18"/>
      <c r="Q32" s="11" t="s">
        <v>161</v>
      </c>
      <c r="R32" s="18"/>
      <c r="S32" s="19">
        <v>236.7392705817</v>
      </c>
      <c r="T32" s="11" t="s">
        <v>162</v>
      </c>
      <c r="U32" s="11" t="s">
        <v>127</v>
      </c>
      <c r="V32" s="11" t="s">
        <v>163</v>
      </c>
      <c r="X32" s="11" t="s">
        <v>30</v>
      </c>
      <c r="Y32" s="1"/>
      <c r="AB32" s="1"/>
      <c r="AD32" s="1"/>
      <c r="AE32" s="1"/>
      <c r="AF32" s="10"/>
      <c r="AG32" s="10"/>
      <c r="AH32" s="10"/>
      <c r="AM32" s="2"/>
      <c r="AN32" s="13"/>
      <c r="AO32" s="11" t="s">
        <v>164</v>
      </c>
      <c r="AR32" s="11" t="s">
        <v>165</v>
      </c>
      <c r="AT32" s="31" t="s">
        <v>166</v>
      </c>
      <c r="AV32" s="11" t="s">
        <v>167</v>
      </c>
      <c r="AX32" s="11" t="s">
        <v>168</v>
      </c>
      <c r="AY32" s="11" t="s">
        <v>169</v>
      </c>
      <c r="AZ32" s="2"/>
    </row>
    <row r="33" ht="14.25" customHeight="1">
      <c r="A33" s="26"/>
      <c r="B33" s="10" t="s">
        <v>25</v>
      </c>
      <c r="C33" s="10">
        <v>0.45</v>
      </c>
      <c r="D33" s="10" t="s">
        <v>26</v>
      </c>
      <c r="E33" s="13" t="s">
        <v>27</v>
      </c>
      <c r="F33" s="12" t="s">
        <v>151</v>
      </c>
      <c r="G33" s="13">
        <v>9.0</v>
      </c>
      <c r="H33" s="14"/>
      <c r="I33" s="15"/>
      <c r="J33" s="15"/>
      <c r="K33" s="30"/>
      <c r="L33" s="15"/>
      <c r="M33" s="15"/>
      <c r="N33" s="15"/>
      <c r="O33" s="11"/>
      <c r="P33" s="18"/>
      <c r="Q33" s="11" t="s">
        <v>90</v>
      </c>
      <c r="R33" s="18"/>
      <c r="S33" s="19">
        <v>203.5657660113</v>
      </c>
      <c r="T33" s="11" t="s">
        <v>128</v>
      </c>
      <c r="U33" s="11" t="s">
        <v>128</v>
      </c>
      <c r="V33" s="11" t="s">
        <v>170</v>
      </c>
      <c r="X33" s="11" t="s">
        <v>50</v>
      </c>
      <c r="Y33" s="1"/>
      <c r="AB33" s="1"/>
      <c r="AD33" s="1"/>
      <c r="AE33" s="1"/>
      <c r="AF33" s="10"/>
      <c r="AG33" s="10"/>
      <c r="AH33" s="10"/>
      <c r="AM33" s="2"/>
      <c r="AN33" s="13"/>
      <c r="AO33" s="11" t="s">
        <v>171</v>
      </c>
      <c r="AR33" s="11" t="s">
        <v>172</v>
      </c>
      <c r="AT33" s="31" t="s">
        <v>173</v>
      </c>
      <c r="AV33" s="11" t="s">
        <v>174</v>
      </c>
      <c r="AX33" s="11" t="s">
        <v>175</v>
      </c>
      <c r="AY33" s="11" t="s">
        <v>176</v>
      </c>
      <c r="AZ33" s="2"/>
    </row>
    <row r="34" ht="14.25" customHeight="1">
      <c r="A34" s="26"/>
      <c r="B34" s="10" t="s">
        <v>25</v>
      </c>
      <c r="C34" s="10">
        <v>0.45</v>
      </c>
      <c r="D34" s="10" t="s">
        <v>26</v>
      </c>
      <c r="E34" s="13" t="s">
        <v>177</v>
      </c>
      <c r="F34" s="12" t="s">
        <v>178</v>
      </c>
      <c r="G34" s="13">
        <v>5.0</v>
      </c>
      <c r="H34" s="14"/>
      <c r="I34" s="15"/>
      <c r="J34" s="15"/>
      <c r="K34" s="30"/>
      <c r="L34" s="15"/>
      <c r="M34" s="15"/>
      <c r="N34" s="15"/>
      <c r="O34" s="11"/>
      <c r="P34" s="18"/>
      <c r="Q34" s="11" t="s">
        <v>179</v>
      </c>
      <c r="R34" s="18"/>
      <c r="S34" s="19">
        <v>171.5477379088</v>
      </c>
      <c r="T34" s="11" t="s">
        <v>180</v>
      </c>
      <c r="U34" s="11" t="s">
        <v>181</v>
      </c>
      <c r="V34" s="11" t="s">
        <v>182</v>
      </c>
      <c r="X34" s="11" t="s">
        <v>63</v>
      </c>
      <c r="AB34" s="1"/>
      <c r="AD34" s="1"/>
      <c r="AE34" s="1"/>
      <c r="AF34" s="10"/>
      <c r="AG34" s="10"/>
      <c r="AH34" s="10"/>
      <c r="AM34" s="2"/>
      <c r="AN34" s="11" t="s">
        <v>183</v>
      </c>
      <c r="AO34" s="11" t="s">
        <v>184</v>
      </c>
      <c r="AR34" s="11" t="s">
        <v>185</v>
      </c>
      <c r="AT34" s="31" t="s">
        <v>186</v>
      </c>
      <c r="AV34" s="11" t="s">
        <v>187</v>
      </c>
      <c r="AX34" s="11" t="s">
        <v>188</v>
      </c>
      <c r="AY34" s="11" t="s">
        <v>189</v>
      </c>
      <c r="AZ34" s="2"/>
    </row>
    <row r="35" ht="14.25" customHeight="1">
      <c r="A35" s="26"/>
      <c r="B35" s="10" t="s">
        <v>25</v>
      </c>
      <c r="C35" s="10">
        <v>0.45</v>
      </c>
      <c r="D35" s="10" t="s">
        <v>26</v>
      </c>
      <c r="E35" s="13" t="s">
        <v>177</v>
      </c>
      <c r="F35" s="12" t="s">
        <v>178</v>
      </c>
      <c r="G35" s="13">
        <v>7.0</v>
      </c>
      <c r="H35" s="14"/>
      <c r="I35" s="15"/>
      <c r="J35" s="15"/>
      <c r="K35" s="30"/>
      <c r="L35" s="15"/>
      <c r="M35" s="15"/>
      <c r="N35" s="15"/>
      <c r="O35" s="11"/>
      <c r="P35" s="18"/>
      <c r="Q35" s="11" t="s">
        <v>190</v>
      </c>
      <c r="R35" s="18"/>
      <c r="S35" s="19">
        <v>210.43395045329993</v>
      </c>
      <c r="T35" s="11" t="s">
        <v>191</v>
      </c>
      <c r="U35" s="11" t="s">
        <v>117</v>
      </c>
      <c r="V35" s="11" t="s">
        <v>192</v>
      </c>
      <c r="X35" s="11" t="s">
        <v>50</v>
      </c>
      <c r="AB35" s="32"/>
      <c r="AD35" s="1"/>
      <c r="AE35" s="1"/>
      <c r="AF35" s="10"/>
      <c r="AG35" s="10"/>
      <c r="AH35" s="10"/>
      <c r="AM35" s="2"/>
      <c r="AN35" s="11" t="s">
        <v>193</v>
      </c>
      <c r="AO35" s="11" t="s">
        <v>194</v>
      </c>
      <c r="AR35" s="11" t="s">
        <v>195</v>
      </c>
      <c r="AT35" s="31" t="s">
        <v>196</v>
      </c>
      <c r="AV35" s="11" t="s">
        <v>46</v>
      </c>
      <c r="AX35" s="11" t="s">
        <v>197</v>
      </c>
      <c r="AY35" s="11" t="s">
        <v>198</v>
      </c>
      <c r="AZ35" s="2"/>
    </row>
    <row r="36" ht="14.25" customHeight="1">
      <c r="A36" s="26"/>
      <c r="B36" s="10" t="s">
        <v>25</v>
      </c>
      <c r="C36" s="10">
        <v>0.45</v>
      </c>
      <c r="D36" s="10" t="s">
        <v>26</v>
      </c>
      <c r="E36" s="13" t="s">
        <v>177</v>
      </c>
      <c r="F36" s="12" t="s">
        <v>178</v>
      </c>
      <c r="G36" s="13">
        <v>9.0</v>
      </c>
      <c r="H36" s="14"/>
      <c r="I36" s="15"/>
      <c r="J36" s="15"/>
      <c r="K36" s="30"/>
      <c r="L36" s="30"/>
      <c r="M36" s="15"/>
      <c r="N36" s="15"/>
      <c r="O36" s="11"/>
      <c r="P36" s="18"/>
      <c r="Q36" s="11" t="s">
        <v>199</v>
      </c>
      <c r="R36" s="18"/>
      <c r="S36" s="19">
        <v>349.32335128885006</v>
      </c>
      <c r="T36" s="11" t="s">
        <v>200</v>
      </c>
      <c r="U36" s="11" t="s">
        <v>50</v>
      </c>
      <c r="V36" s="11" t="s">
        <v>50</v>
      </c>
      <c r="X36" s="11" t="s">
        <v>50</v>
      </c>
      <c r="AB36" s="32"/>
      <c r="AC36" s="1"/>
      <c r="AD36" s="1"/>
      <c r="AE36" s="10"/>
      <c r="AF36" s="10"/>
      <c r="AG36" s="10"/>
      <c r="AH36" s="10"/>
      <c r="AM36" s="2"/>
      <c r="AN36" s="11" t="s">
        <v>201</v>
      </c>
      <c r="AO36" s="11" t="s">
        <v>202</v>
      </c>
      <c r="AR36" s="11" t="s">
        <v>203</v>
      </c>
      <c r="AT36" s="31" t="s">
        <v>204</v>
      </c>
      <c r="AV36" s="11" t="s">
        <v>205</v>
      </c>
      <c r="AX36" s="11" t="s">
        <v>206</v>
      </c>
      <c r="AY36" s="11" t="s">
        <v>207</v>
      </c>
      <c r="AZ36" s="2"/>
    </row>
    <row r="37" ht="14.25" customHeight="1">
      <c r="A37" s="26"/>
      <c r="B37" s="10" t="s">
        <v>25</v>
      </c>
      <c r="C37" s="10">
        <v>0.45</v>
      </c>
      <c r="D37" s="10" t="s">
        <v>94</v>
      </c>
      <c r="E37" s="13" t="s">
        <v>27</v>
      </c>
      <c r="F37" s="12" t="s">
        <v>151</v>
      </c>
      <c r="G37" s="13">
        <v>5.0</v>
      </c>
      <c r="H37" s="14"/>
      <c r="I37" s="14"/>
      <c r="J37" s="14"/>
      <c r="K37" s="14"/>
      <c r="L37" s="14"/>
      <c r="M37" s="15"/>
      <c r="N37" s="15"/>
      <c r="O37" s="11"/>
      <c r="P37" s="18"/>
      <c r="Q37" s="11" t="s">
        <v>125</v>
      </c>
      <c r="R37" s="18"/>
      <c r="S37" s="19">
        <v>260.71165011769983</v>
      </c>
      <c r="T37" s="11" t="s">
        <v>208</v>
      </c>
      <c r="U37" s="11" t="s">
        <v>39</v>
      </c>
      <c r="V37" s="11" t="s">
        <v>209</v>
      </c>
      <c r="X37" s="11" t="s">
        <v>210</v>
      </c>
      <c r="Y37" s="11" t="s">
        <v>200</v>
      </c>
      <c r="AB37" s="32"/>
      <c r="AC37" s="1"/>
      <c r="AD37" s="1"/>
      <c r="AE37" s="10"/>
      <c r="AF37" s="10"/>
      <c r="AG37" s="10"/>
      <c r="AH37" s="10"/>
      <c r="AM37" s="2"/>
      <c r="AN37" s="11" t="s">
        <v>211</v>
      </c>
      <c r="AO37" s="11" t="s">
        <v>212</v>
      </c>
      <c r="AR37" s="11" t="s">
        <v>213</v>
      </c>
      <c r="AT37" s="31" t="s">
        <v>214</v>
      </c>
      <c r="AV37" s="11" t="s">
        <v>215</v>
      </c>
      <c r="AX37" s="11" t="s">
        <v>216</v>
      </c>
      <c r="AY37" s="11" t="s">
        <v>217</v>
      </c>
      <c r="AZ37" s="2"/>
    </row>
    <row r="38" ht="14.25" customHeight="1">
      <c r="A38" s="26"/>
      <c r="B38" s="10" t="s">
        <v>25</v>
      </c>
      <c r="C38" s="10">
        <v>0.45</v>
      </c>
      <c r="D38" s="10" t="s">
        <v>94</v>
      </c>
      <c r="E38" s="13" t="s">
        <v>27</v>
      </c>
      <c r="F38" s="12" t="s">
        <v>151</v>
      </c>
      <c r="G38" s="13">
        <v>7.0</v>
      </c>
      <c r="H38" s="14"/>
      <c r="I38" s="14"/>
      <c r="J38" s="14"/>
      <c r="K38" s="14"/>
      <c r="L38" s="14"/>
      <c r="M38" s="15"/>
      <c r="N38" s="15"/>
      <c r="O38" s="11"/>
      <c r="P38" s="18"/>
      <c r="Q38" s="11" t="s">
        <v>218</v>
      </c>
      <c r="R38" s="18"/>
      <c r="S38" s="19">
        <v>338.27912545310016</v>
      </c>
      <c r="T38" s="11" t="s">
        <v>74</v>
      </c>
      <c r="U38" s="11" t="s">
        <v>62</v>
      </c>
      <c r="V38" s="11" t="s">
        <v>219</v>
      </c>
      <c r="X38" s="11" t="s">
        <v>50</v>
      </c>
      <c r="Y38" s="11" t="s">
        <v>50</v>
      </c>
      <c r="AC38" s="1"/>
      <c r="AD38" s="1"/>
      <c r="AE38" s="10"/>
      <c r="AF38" s="10"/>
      <c r="AG38" s="10"/>
      <c r="AH38" s="10"/>
      <c r="AM38" s="2"/>
      <c r="AN38" s="11" t="s">
        <v>220</v>
      </c>
      <c r="AO38" s="11" t="s">
        <v>221</v>
      </c>
      <c r="AR38" s="11" t="s">
        <v>222</v>
      </c>
      <c r="AT38" s="31" t="s">
        <v>223</v>
      </c>
      <c r="AV38" s="11" t="s">
        <v>224</v>
      </c>
      <c r="AW38" s="32"/>
      <c r="AX38" s="11" t="s">
        <v>225</v>
      </c>
      <c r="AY38" s="11" t="s">
        <v>226</v>
      </c>
      <c r="AZ38" s="2"/>
    </row>
    <row r="39" ht="15.0" customHeight="1">
      <c r="A39" s="26"/>
      <c r="B39" s="10" t="s">
        <v>25</v>
      </c>
      <c r="C39" s="10">
        <v>0.45</v>
      </c>
      <c r="D39" s="10" t="s">
        <v>94</v>
      </c>
      <c r="E39" s="13" t="s">
        <v>27</v>
      </c>
      <c r="F39" s="12" t="s">
        <v>151</v>
      </c>
      <c r="G39" s="13">
        <v>9.0</v>
      </c>
      <c r="H39" s="14"/>
      <c r="I39" s="14"/>
      <c r="J39" s="14"/>
      <c r="K39" s="14"/>
      <c r="L39" s="14"/>
      <c r="M39" s="15"/>
      <c r="N39" s="15"/>
      <c r="O39" s="11"/>
      <c r="P39" s="18"/>
      <c r="Q39" s="11" t="s">
        <v>227</v>
      </c>
      <c r="R39" s="18"/>
      <c r="S39" s="19">
        <v>293.6334788465501</v>
      </c>
      <c r="T39" s="11" t="s">
        <v>228</v>
      </c>
      <c r="U39" s="11" t="s">
        <v>98</v>
      </c>
      <c r="V39" s="11" t="s">
        <v>50</v>
      </c>
      <c r="X39" s="11" t="s">
        <v>50</v>
      </c>
      <c r="Y39" s="11" t="s">
        <v>50</v>
      </c>
      <c r="AC39" s="1"/>
      <c r="AD39" s="1"/>
      <c r="AE39" s="10"/>
      <c r="AF39" s="10"/>
      <c r="AG39" s="10"/>
      <c r="AH39" s="10"/>
      <c r="AM39" s="2"/>
      <c r="AN39" s="11" t="s">
        <v>229</v>
      </c>
      <c r="AO39" s="11" t="s">
        <v>230</v>
      </c>
      <c r="AR39" s="11" t="s">
        <v>136</v>
      </c>
      <c r="AT39" s="31" t="s">
        <v>231</v>
      </c>
      <c r="AV39" s="11" t="s">
        <v>232</v>
      </c>
      <c r="AW39" s="32"/>
      <c r="AX39" s="11" t="s">
        <v>233</v>
      </c>
      <c r="AY39" s="11" t="s">
        <v>234</v>
      </c>
      <c r="AZ39" s="2"/>
    </row>
    <row r="40" ht="15.0" customHeight="1">
      <c r="A40" s="26"/>
      <c r="B40" s="10" t="s">
        <v>25</v>
      </c>
      <c r="C40" s="10">
        <v>0.45</v>
      </c>
      <c r="D40" s="10" t="s">
        <v>94</v>
      </c>
      <c r="E40" s="11" t="s">
        <v>177</v>
      </c>
      <c r="F40" s="12" t="s">
        <v>178</v>
      </c>
      <c r="G40" s="13">
        <v>5.0</v>
      </c>
      <c r="H40" s="14"/>
      <c r="I40" s="14"/>
      <c r="J40" s="14"/>
      <c r="K40" s="14"/>
      <c r="L40" s="14"/>
      <c r="M40" s="15"/>
      <c r="N40" s="15"/>
      <c r="O40" s="11"/>
      <c r="P40" s="18"/>
      <c r="Q40" s="11" t="s">
        <v>235</v>
      </c>
      <c r="R40" s="18"/>
      <c r="S40" s="19">
        <v>283.53454693455</v>
      </c>
      <c r="T40" s="11" t="s">
        <v>60</v>
      </c>
      <c r="U40" s="11" t="s">
        <v>236</v>
      </c>
      <c r="V40" s="11" t="s">
        <v>97</v>
      </c>
      <c r="X40" s="11" t="s">
        <v>85</v>
      </c>
      <c r="Y40" s="11" t="s">
        <v>237</v>
      </c>
      <c r="AC40" s="1"/>
      <c r="AD40" s="1"/>
      <c r="AE40" s="10"/>
      <c r="AF40" s="10"/>
      <c r="AG40" s="10"/>
      <c r="AH40" s="10"/>
      <c r="AM40" s="2"/>
      <c r="AN40" s="11" t="s">
        <v>238</v>
      </c>
      <c r="AO40" s="11" t="s">
        <v>239</v>
      </c>
      <c r="AR40" s="11" t="s">
        <v>240</v>
      </c>
      <c r="AT40" s="31" t="s">
        <v>241</v>
      </c>
      <c r="AV40" s="11" t="s">
        <v>242</v>
      </c>
      <c r="AX40" s="11" t="s">
        <v>243</v>
      </c>
      <c r="AY40" s="11" t="s">
        <v>244</v>
      </c>
      <c r="AZ40" s="2"/>
    </row>
    <row r="41" ht="14.25" customHeight="1">
      <c r="A41" s="26"/>
      <c r="B41" s="10" t="s">
        <v>25</v>
      </c>
      <c r="C41" s="10">
        <v>0.45</v>
      </c>
      <c r="D41" s="10" t="s">
        <v>94</v>
      </c>
      <c r="E41" s="11" t="s">
        <v>177</v>
      </c>
      <c r="F41" s="12" t="s">
        <v>178</v>
      </c>
      <c r="G41" s="13">
        <v>7.0</v>
      </c>
      <c r="H41" s="14"/>
      <c r="I41" s="14"/>
      <c r="J41" s="14"/>
      <c r="K41" s="14"/>
      <c r="L41" s="14"/>
      <c r="M41" s="15"/>
      <c r="N41" s="15"/>
      <c r="O41" s="11"/>
      <c r="P41" s="18"/>
      <c r="Q41" s="11" t="s">
        <v>245</v>
      </c>
      <c r="R41" s="18"/>
      <c r="S41" s="19">
        <v>282.28326660145024</v>
      </c>
      <c r="T41" s="11" t="s">
        <v>116</v>
      </c>
      <c r="U41" s="11" t="s">
        <v>246</v>
      </c>
      <c r="V41" s="11" t="s">
        <v>247</v>
      </c>
      <c r="X41" s="11" t="s">
        <v>50</v>
      </c>
      <c r="Y41" s="11" t="s">
        <v>50</v>
      </c>
      <c r="AC41" s="1"/>
      <c r="AD41" s="1"/>
      <c r="AE41" s="10"/>
      <c r="AF41" s="10"/>
      <c r="AG41" s="10"/>
      <c r="AH41" s="10"/>
      <c r="AM41" s="2"/>
      <c r="AN41" s="11" t="s">
        <v>248</v>
      </c>
      <c r="AO41" s="11" t="s">
        <v>249</v>
      </c>
      <c r="AR41" s="11" t="s">
        <v>250</v>
      </c>
      <c r="AT41" s="31" t="s">
        <v>251</v>
      </c>
      <c r="AV41" s="11" t="s">
        <v>252</v>
      </c>
      <c r="AX41" s="11" t="s">
        <v>253</v>
      </c>
      <c r="AY41" s="11" t="s">
        <v>254</v>
      </c>
      <c r="AZ41" s="2"/>
    </row>
    <row r="42" ht="14.25" customHeight="1">
      <c r="A42" s="33"/>
      <c r="B42" s="34" t="s">
        <v>25</v>
      </c>
      <c r="C42" s="34">
        <v>0.45</v>
      </c>
      <c r="D42" s="34" t="s">
        <v>94</v>
      </c>
      <c r="E42" s="35" t="s">
        <v>177</v>
      </c>
      <c r="F42" s="36" t="s">
        <v>178</v>
      </c>
      <c r="G42" s="37">
        <v>9.0</v>
      </c>
      <c r="H42" s="38"/>
      <c r="I42" s="39"/>
      <c r="J42" s="39"/>
      <c r="K42" s="40"/>
      <c r="L42" s="40"/>
      <c r="M42" s="39"/>
      <c r="N42" s="39"/>
      <c r="O42" s="35"/>
      <c r="P42" s="41"/>
      <c r="Q42" s="35" t="s">
        <v>255</v>
      </c>
      <c r="R42" s="41"/>
      <c r="S42" s="42">
        <v>294.02432556869985</v>
      </c>
      <c r="T42" s="35" t="s">
        <v>97</v>
      </c>
      <c r="U42" s="35" t="s">
        <v>97</v>
      </c>
      <c r="V42" s="35" t="s">
        <v>256</v>
      </c>
      <c r="W42" s="43"/>
      <c r="X42" s="35" t="s">
        <v>257</v>
      </c>
      <c r="Y42" s="35" t="s">
        <v>192</v>
      </c>
      <c r="Z42" s="44"/>
      <c r="AA42" s="44"/>
      <c r="AB42" s="44"/>
      <c r="AC42" s="45"/>
      <c r="AD42" s="45"/>
      <c r="AE42" s="34"/>
      <c r="AF42" s="34"/>
      <c r="AG42" s="34"/>
      <c r="AH42" s="34"/>
      <c r="AI42" s="44"/>
      <c r="AJ42" s="44"/>
      <c r="AK42" s="44"/>
      <c r="AL42" s="44"/>
      <c r="AM42" s="46"/>
      <c r="AN42" s="35" t="s">
        <v>258</v>
      </c>
      <c r="AO42" s="35" t="s">
        <v>259</v>
      </c>
      <c r="AP42" s="44"/>
      <c r="AQ42" s="44"/>
      <c r="AR42" s="35" t="s">
        <v>260</v>
      </c>
      <c r="AS42" s="44"/>
      <c r="AT42" s="47" t="s">
        <v>261</v>
      </c>
      <c r="AU42" s="48"/>
      <c r="AV42" s="35" t="s">
        <v>262</v>
      </c>
      <c r="AW42" s="44"/>
      <c r="AX42" s="35" t="s">
        <v>263</v>
      </c>
      <c r="AY42" s="35" t="s">
        <v>264</v>
      </c>
      <c r="AZ42" s="46"/>
    </row>
    <row r="43" ht="14.25" customHeight="1">
      <c r="A43" s="9" t="s">
        <v>265</v>
      </c>
      <c r="B43" s="10" t="s">
        <v>25</v>
      </c>
      <c r="C43" s="10">
        <v>0.45</v>
      </c>
      <c r="D43" s="10" t="s">
        <v>26</v>
      </c>
      <c r="E43" s="10" t="s">
        <v>27</v>
      </c>
      <c r="F43" s="10">
        <v>63.0</v>
      </c>
      <c r="G43" s="10">
        <v>5.0</v>
      </c>
      <c r="H43" s="14"/>
      <c r="I43" s="15"/>
      <c r="J43" s="15"/>
      <c r="K43" s="30"/>
      <c r="L43" s="30"/>
      <c r="M43" s="15"/>
      <c r="N43" s="15"/>
      <c r="O43" s="49">
        <v>32.48638</v>
      </c>
      <c r="P43" s="50"/>
      <c r="Q43" s="49">
        <v>43.32626</v>
      </c>
      <c r="R43" s="50"/>
      <c r="S43" s="49">
        <v>868.0301330421995</v>
      </c>
      <c r="T43" s="12">
        <v>0.582</v>
      </c>
      <c r="U43" s="12">
        <v>0.602</v>
      </c>
      <c r="V43" s="12">
        <v>0.701</v>
      </c>
      <c r="X43" s="12">
        <v>0.928</v>
      </c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M43" s="51"/>
      <c r="AN43" s="12"/>
      <c r="AO43" s="12">
        <v>2.67</v>
      </c>
      <c r="AP43" s="12"/>
      <c r="AQ43" s="12"/>
      <c r="AR43" s="12">
        <v>11.3</v>
      </c>
      <c r="AS43" s="12"/>
      <c r="AT43" s="51">
        <v>12.7</v>
      </c>
      <c r="AU43" s="12">
        <v>21.4</v>
      </c>
      <c r="AW43" s="12"/>
      <c r="AX43" s="12">
        <v>32.9</v>
      </c>
      <c r="AY43" s="12">
        <v>38.9</v>
      </c>
      <c r="AZ43" s="2"/>
    </row>
    <row r="44" ht="14.25" customHeight="1">
      <c r="A44" s="26"/>
      <c r="B44" s="10" t="s">
        <v>25</v>
      </c>
      <c r="C44" s="10">
        <v>0.45</v>
      </c>
      <c r="D44" s="10" t="s">
        <v>26</v>
      </c>
      <c r="E44" s="10" t="s">
        <v>27</v>
      </c>
      <c r="F44" s="10">
        <v>63.0</v>
      </c>
      <c r="G44" s="10">
        <v>7.0</v>
      </c>
      <c r="H44" s="14"/>
      <c r="I44" s="14"/>
      <c r="J44" s="14"/>
      <c r="K44" s="14"/>
      <c r="L44" s="14"/>
      <c r="M44" s="15"/>
      <c r="N44" s="15"/>
      <c r="O44" s="49">
        <v>35.59589</v>
      </c>
      <c r="P44" s="50"/>
      <c r="Q44" s="49">
        <v>43.28974</v>
      </c>
      <c r="R44" s="50"/>
      <c r="S44" s="49">
        <v>868.4789409280501</v>
      </c>
      <c r="T44" s="12" t="s">
        <v>50</v>
      </c>
      <c r="U44" s="12">
        <v>0.992</v>
      </c>
      <c r="V44" s="12" t="s">
        <v>266</v>
      </c>
      <c r="X44" s="12" t="s">
        <v>50</v>
      </c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M44" s="51"/>
      <c r="AN44" s="12"/>
      <c r="AO44" s="12">
        <v>6.14</v>
      </c>
      <c r="AP44" s="12"/>
      <c r="AQ44" s="12"/>
      <c r="AR44" s="12">
        <v>11.2</v>
      </c>
      <c r="AS44" s="12"/>
      <c r="AT44" s="51">
        <v>14.7</v>
      </c>
      <c r="AU44" s="12">
        <v>21.5</v>
      </c>
      <c r="AW44" s="12"/>
      <c r="AX44" s="12">
        <v>33.4</v>
      </c>
      <c r="AY44" s="12">
        <v>37.1</v>
      </c>
      <c r="AZ44" s="2"/>
    </row>
    <row r="45" ht="13.5" customHeight="1">
      <c r="A45" s="26"/>
      <c r="B45" s="10" t="s">
        <v>25</v>
      </c>
      <c r="C45" s="10">
        <v>0.45</v>
      </c>
      <c r="D45" s="10" t="s">
        <v>26</v>
      </c>
      <c r="E45" s="10" t="s">
        <v>27</v>
      </c>
      <c r="F45" s="10" t="s">
        <v>267</v>
      </c>
      <c r="G45" s="10">
        <v>5.0</v>
      </c>
      <c r="H45" s="14"/>
      <c r="I45" s="14"/>
      <c r="J45" s="14"/>
      <c r="K45" s="14"/>
      <c r="L45" s="14"/>
      <c r="M45" s="15"/>
      <c r="N45" s="15"/>
      <c r="O45" s="49">
        <v>32.65412</v>
      </c>
      <c r="P45" s="50"/>
      <c r="Q45" s="49">
        <v>45.06234</v>
      </c>
      <c r="R45" s="50"/>
      <c r="S45" s="49">
        <v>891.9019518954001</v>
      </c>
      <c r="T45" s="12">
        <v>0.538</v>
      </c>
      <c r="U45" s="12">
        <v>0.615</v>
      </c>
      <c r="V45" s="12">
        <v>0.692</v>
      </c>
      <c r="X45" s="12" t="s">
        <v>266</v>
      </c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51"/>
      <c r="AN45" s="12"/>
      <c r="AO45" s="12">
        <v>4.33</v>
      </c>
      <c r="AP45" s="12"/>
      <c r="AQ45" s="12"/>
      <c r="AR45" s="12">
        <v>12.7</v>
      </c>
      <c r="AS45" s="12"/>
      <c r="AT45" s="51">
        <v>17.8</v>
      </c>
      <c r="AU45" s="12">
        <v>23.7</v>
      </c>
      <c r="AW45" s="12"/>
      <c r="AX45" s="12">
        <v>31.9</v>
      </c>
      <c r="AY45" s="12">
        <v>37.7</v>
      </c>
      <c r="AZ45" s="2"/>
    </row>
    <row r="46" ht="14.25" customHeight="1">
      <c r="A46" s="33"/>
      <c r="B46" s="34" t="s">
        <v>25</v>
      </c>
      <c r="C46" s="34">
        <v>0.45</v>
      </c>
      <c r="D46" s="34" t="s">
        <v>26</v>
      </c>
      <c r="E46" s="34" t="s">
        <v>27</v>
      </c>
      <c r="F46" s="34" t="s">
        <v>267</v>
      </c>
      <c r="G46" s="34">
        <v>7.0</v>
      </c>
      <c r="H46" s="38"/>
      <c r="I46" s="38"/>
      <c r="J46" s="38"/>
      <c r="K46" s="38"/>
      <c r="L46" s="38"/>
      <c r="M46" s="39"/>
      <c r="N46" s="39"/>
      <c r="O46" s="52">
        <v>35.52046</v>
      </c>
      <c r="P46" s="53"/>
      <c r="Q46" s="52">
        <v>44.57205</v>
      </c>
      <c r="R46" s="53"/>
      <c r="S46" s="52">
        <v>888.77384175335</v>
      </c>
      <c r="T46" s="36">
        <v>0.704</v>
      </c>
      <c r="U46" s="36">
        <v>0.763</v>
      </c>
      <c r="V46" s="36" t="s">
        <v>266</v>
      </c>
      <c r="W46" s="44"/>
      <c r="X46" s="36" t="s">
        <v>50</v>
      </c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44"/>
      <c r="AK46" s="44"/>
      <c r="AL46" s="44"/>
      <c r="AM46" s="54"/>
      <c r="AN46" s="36"/>
      <c r="AO46" s="36">
        <v>7.0</v>
      </c>
      <c r="AP46" s="36"/>
      <c r="AQ46" s="36"/>
      <c r="AR46" s="36">
        <v>9.25</v>
      </c>
      <c r="AS46" s="36"/>
      <c r="AT46" s="54">
        <v>17.9</v>
      </c>
      <c r="AU46" s="36">
        <v>21.7</v>
      </c>
      <c r="AV46" s="44"/>
      <c r="AW46" s="36"/>
      <c r="AX46" s="36">
        <v>31.3</v>
      </c>
      <c r="AY46" s="36">
        <v>35.7</v>
      </c>
      <c r="AZ46" s="46"/>
    </row>
    <row r="47" ht="14.25" customHeight="1">
      <c r="A47" s="9" t="s">
        <v>268</v>
      </c>
      <c r="B47" s="10" t="s">
        <v>269</v>
      </c>
      <c r="C47" s="49">
        <v>0.3134</v>
      </c>
      <c r="D47" s="10" t="s">
        <v>94</v>
      </c>
      <c r="E47" s="10" t="s">
        <v>27</v>
      </c>
      <c r="F47" s="10">
        <v>63.0</v>
      </c>
      <c r="G47" s="10">
        <v>5.0</v>
      </c>
      <c r="H47" s="55">
        <v>91.64908</v>
      </c>
      <c r="I47" s="56">
        <v>3616.369956052737</v>
      </c>
      <c r="J47" s="57"/>
      <c r="K47" s="55">
        <v>3.31806</v>
      </c>
      <c r="L47" s="58">
        <v>0.32162618920995095</v>
      </c>
      <c r="M47" s="59"/>
      <c r="N47" s="58">
        <v>54.75281030265</v>
      </c>
      <c r="O47" s="60">
        <v>35.81856</v>
      </c>
      <c r="P47" s="61"/>
      <c r="Q47" s="62">
        <v>55.25553</v>
      </c>
      <c r="R47" s="63"/>
      <c r="S47" s="19">
        <v>701.5053733653999</v>
      </c>
      <c r="W47" s="12"/>
      <c r="X47" s="10"/>
      <c r="Y47" s="12"/>
      <c r="Z47" s="12"/>
      <c r="AA47" s="12"/>
      <c r="AB47" s="12"/>
      <c r="AC47" s="12"/>
      <c r="AD47" s="12"/>
      <c r="AE47" s="12"/>
      <c r="AF47" s="10"/>
      <c r="AG47" s="10"/>
      <c r="AH47" s="10"/>
      <c r="AM47" s="51"/>
      <c r="AN47" s="12" t="s">
        <v>50</v>
      </c>
      <c r="AO47" s="12">
        <v>15.8</v>
      </c>
      <c r="AP47" s="12"/>
      <c r="AQ47" s="12"/>
      <c r="AR47" s="12">
        <v>28.9</v>
      </c>
      <c r="AS47" s="12"/>
      <c r="AT47" s="51">
        <v>32.6</v>
      </c>
      <c r="AU47" s="12">
        <v>41.6</v>
      </c>
      <c r="AV47" s="12"/>
      <c r="AW47" s="12">
        <v>42.3</v>
      </c>
      <c r="AX47" s="12">
        <v>49.5</v>
      </c>
      <c r="AY47" s="12">
        <v>53.9</v>
      </c>
      <c r="AZ47" s="51">
        <v>58.9</v>
      </c>
    </row>
    <row r="48" ht="14.25" customHeight="1">
      <c r="A48" s="26"/>
      <c r="B48" s="10" t="s">
        <v>269</v>
      </c>
      <c r="C48" s="49">
        <v>0.3134</v>
      </c>
      <c r="D48" s="10" t="s">
        <v>94</v>
      </c>
      <c r="E48" s="10" t="s">
        <v>27</v>
      </c>
      <c r="F48" s="10">
        <v>63.0</v>
      </c>
      <c r="G48" s="10">
        <v>7.0</v>
      </c>
      <c r="H48" s="55">
        <v>108.2842</v>
      </c>
      <c r="I48" s="56">
        <v>4094.4921666029813</v>
      </c>
      <c r="J48" s="57"/>
      <c r="K48" s="55">
        <v>3.30591</v>
      </c>
      <c r="L48" s="58">
        <v>0.3840584814410761</v>
      </c>
      <c r="M48" s="59"/>
      <c r="N48" s="58">
        <v>55.401467407700004</v>
      </c>
      <c r="O48" s="60">
        <v>45.45739</v>
      </c>
      <c r="P48" s="61"/>
      <c r="Q48" s="62">
        <v>66.48755</v>
      </c>
      <c r="R48" s="63"/>
      <c r="S48" s="19">
        <v>870.6780662473499</v>
      </c>
      <c r="W48" s="12"/>
      <c r="Y48" s="12"/>
      <c r="Z48" s="12"/>
      <c r="AA48" s="12"/>
      <c r="AB48" s="12"/>
      <c r="AC48" s="12"/>
      <c r="AD48" s="12"/>
      <c r="AE48" s="12"/>
      <c r="AF48" s="10"/>
      <c r="AG48" s="10"/>
      <c r="AH48" s="10"/>
      <c r="AM48" s="51"/>
      <c r="AN48" s="12">
        <v>20.2</v>
      </c>
      <c r="AO48" s="12">
        <v>26.0</v>
      </c>
      <c r="AP48" s="12"/>
      <c r="AQ48" s="12"/>
      <c r="AR48" s="12">
        <v>28.2</v>
      </c>
      <c r="AS48" s="12"/>
      <c r="AT48" s="51">
        <v>32.9</v>
      </c>
      <c r="AU48" s="12">
        <v>31.0</v>
      </c>
      <c r="AV48" s="12"/>
      <c r="AW48" s="12">
        <v>27.2</v>
      </c>
      <c r="AX48" s="12">
        <v>34.8</v>
      </c>
      <c r="AY48" s="12">
        <v>35.5</v>
      </c>
      <c r="AZ48" s="51">
        <v>35.6</v>
      </c>
    </row>
    <row r="49" ht="14.25" customHeight="1">
      <c r="A49" s="26"/>
      <c r="B49" s="10" t="s">
        <v>269</v>
      </c>
      <c r="C49" s="49">
        <v>0.3134</v>
      </c>
      <c r="D49" s="10" t="s">
        <v>94</v>
      </c>
      <c r="E49" s="10" t="s">
        <v>27</v>
      </c>
      <c r="F49" s="10">
        <v>80.0</v>
      </c>
      <c r="G49" s="10">
        <v>7.0</v>
      </c>
      <c r="H49" s="55">
        <v>88.75601</v>
      </c>
      <c r="I49" s="56">
        <v>2334.168087373469</v>
      </c>
      <c r="J49" s="57"/>
      <c r="K49" s="55">
        <v>4.41149</v>
      </c>
      <c r="L49" s="58">
        <v>0.4921370460739603</v>
      </c>
      <c r="M49" s="59"/>
      <c r="N49" s="58">
        <v>67.51441826515</v>
      </c>
      <c r="O49" s="60">
        <v>41.0761</v>
      </c>
      <c r="P49" s="61"/>
      <c r="Q49" s="62">
        <v>74.6925</v>
      </c>
      <c r="R49" s="63"/>
      <c r="S49" s="19">
        <v>855.7627704397496</v>
      </c>
      <c r="W49" s="12"/>
      <c r="Y49" s="12"/>
      <c r="Z49" s="12"/>
      <c r="AA49" s="12"/>
      <c r="AB49" s="12"/>
      <c r="AC49" s="12"/>
      <c r="AD49" s="12"/>
      <c r="AE49" s="12"/>
      <c r="AF49" s="10"/>
      <c r="AG49" s="10"/>
      <c r="AH49" s="10"/>
      <c r="AM49" s="51"/>
      <c r="AN49" s="12"/>
      <c r="AO49" s="12">
        <v>21.5</v>
      </c>
      <c r="AP49" s="12"/>
      <c r="AQ49" s="12"/>
      <c r="AR49" s="12">
        <v>24.3</v>
      </c>
      <c r="AS49" s="12"/>
      <c r="AT49" s="51">
        <v>28.8</v>
      </c>
      <c r="AU49" s="12">
        <v>36.4</v>
      </c>
      <c r="AV49" s="12"/>
      <c r="AW49" s="12">
        <v>37.5</v>
      </c>
      <c r="AX49" s="12">
        <v>43.1</v>
      </c>
      <c r="AY49" s="12">
        <v>48.6</v>
      </c>
      <c r="AZ49" s="51">
        <v>58.7</v>
      </c>
    </row>
    <row r="50" ht="14.25" customHeight="1">
      <c r="A50" s="26"/>
      <c r="B50" s="10" t="s">
        <v>269</v>
      </c>
      <c r="C50" s="49">
        <v>0.3134</v>
      </c>
      <c r="D50" s="10" t="s">
        <v>94</v>
      </c>
      <c r="E50" s="10" t="s">
        <v>270</v>
      </c>
      <c r="F50" s="10">
        <v>2.0</v>
      </c>
      <c r="G50" s="10">
        <v>11.0</v>
      </c>
      <c r="H50" s="55">
        <v>155.2965</v>
      </c>
      <c r="I50" s="56">
        <v>7967.191731266153</v>
      </c>
      <c r="J50" s="57"/>
      <c r="K50" s="55">
        <v>4.89747</v>
      </c>
      <c r="L50" s="58">
        <v>0.5759783687288196</v>
      </c>
      <c r="M50" s="59"/>
      <c r="N50" s="58">
        <v>68.14853720080002</v>
      </c>
      <c r="O50" s="60">
        <v>47.13024</v>
      </c>
      <c r="P50" s="61"/>
      <c r="Q50" s="62">
        <v>75.40944</v>
      </c>
      <c r="R50" s="63"/>
      <c r="S50" s="19">
        <v>856.7000865566501</v>
      </c>
      <c r="T50" s="10"/>
      <c r="U50" s="10"/>
      <c r="V50" s="10"/>
      <c r="W50" s="12"/>
      <c r="Y50" s="12"/>
      <c r="Z50" s="12"/>
      <c r="AA50" s="12"/>
      <c r="AB50" s="12"/>
      <c r="AC50" s="12"/>
      <c r="AD50" s="12"/>
      <c r="AE50" s="12"/>
      <c r="AF50" s="10"/>
      <c r="AG50" s="10"/>
      <c r="AH50" s="10"/>
      <c r="AI50" s="12"/>
      <c r="AJ50" s="12"/>
      <c r="AK50" s="12"/>
      <c r="AL50" s="12"/>
      <c r="AM50" s="51"/>
      <c r="AN50" s="12">
        <v>24.9</v>
      </c>
      <c r="AO50" s="12">
        <v>24.7</v>
      </c>
      <c r="AP50" s="12"/>
      <c r="AQ50" s="12"/>
      <c r="AR50" s="12">
        <v>26.8</v>
      </c>
      <c r="AS50" s="12"/>
      <c r="AT50" s="51">
        <v>29.0</v>
      </c>
      <c r="AU50" s="64">
        <v>28.6</v>
      </c>
      <c r="AV50" s="64"/>
      <c r="AW50" s="64">
        <v>31.5</v>
      </c>
      <c r="AX50" s="64">
        <v>37.5</v>
      </c>
      <c r="AY50" s="64">
        <v>48.3</v>
      </c>
      <c r="AZ50" s="65">
        <v>42.9</v>
      </c>
    </row>
    <row r="51" ht="14.25" customHeight="1">
      <c r="A51" s="26"/>
      <c r="B51" s="10" t="s">
        <v>269</v>
      </c>
      <c r="C51" s="49">
        <v>0.3134</v>
      </c>
      <c r="D51" s="10" t="s">
        <v>94</v>
      </c>
      <c r="E51" s="10" t="s">
        <v>271</v>
      </c>
      <c r="F51" s="10">
        <v>73.0</v>
      </c>
      <c r="G51" s="10">
        <v>3.0</v>
      </c>
      <c r="H51" s="55">
        <v>61.99516</v>
      </c>
      <c r="I51" s="56">
        <v>2431.634838194167</v>
      </c>
      <c r="J51" s="57"/>
      <c r="K51" s="55">
        <v>3.86478</v>
      </c>
      <c r="L51" s="58">
        <v>0.5883065045323099</v>
      </c>
      <c r="M51" s="59"/>
      <c r="N51" s="58">
        <v>58.465709951749986</v>
      </c>
      <c r="O51" s="60">
        <v>35.49992</v>
      </c>
      <c r="P51" s="61"/>
      <c r="Q51" s="62">
        <v>71.26713</v>
      </c>
      <c r="R51" s="63"/>
      <c r="S51" s="19">
        <v>827.3582322876997</v>
      </c>
      <c r="T51" s="28"/>
      <c r="U51" s="28"/>
      <c r="V51" s="28"/>
      <c r="W51" s="12"/>
      <c r="Y51" s="12"/>
      <c r="Z51" s="12"/>
      <c r="AA51" s="12"/>
      <c r="AB51" s="12"/>
      <c r="AC51" s="12"/>
      <c r="AD51" s="12"/>
      <c r="AE51" s="12"/>
      <c r="AF51" s="28"/>
      <c r="AG51" s="28"/>
      <c r="AH51" s="28"/>
      <c r="AI51" s="28"/>
      <c r="AJ51" s="28"/>
      <c r="AK51" s="28"/>
      <c r="AL51" s="28"/>
      <c r="AM51" s="66"/>
      <c r="AN51" s="12"/>
      <c r="AO51" s="12">
        <v>6.1</v>
      </c>
      <c r="AP51" s="12"/>
      <c r="AQ51" s="12"/>
      <c r="AR51" s="12">
        <v>21.7</v>
      </c>
      <c r="AS51" s="12"/>
      <c r="AT51" s="51">
        <v>27.0</v>
      </c>
      <c r="AU51" s="12">
        <v>31.9</v>
      </c>
      <c r="AV51" s="12"/>
      <c r="AW51" s="12">
        <v>33.4</v>
      </c>
      <c r="AX51" s="12">
        <v>35.2</v>
      </c>
      <c r="AY51" s="12">
        <v>42.7</v>
      </c>
      <c r="AZ51" s="51">
        <v>45.7</v>
      </c>
    </row>
    <row r="52" ht="14.25" customHeight="1">
      <c r="A52" s="26"/>
      <c r="B52" s="10" t="s">
        <v>269</v>
      </c>
      <c r="C52" s="49">
        <v>0.3134</v>
      </c>
      <c r="D52" s="10" t="s">
        <v>26</v>
      </c>
      <c r="E52" s="10" t="s">
        <v>27</v>
      </c>
      <c r="F52" s="10">
        <v>63.0</v>
      </c>
      <c r="G52" s="10">
        <v>5.0</v>
      </c>
      <c r="H52" s="55">
        <v>77.43962</v>
      </c>
      <c r="I52" s="56">
        <v>1659.5926738319806</v>
      </c>
      <c r="J52" s="57"/>
      <c r="K52" s="55">
        <v>2.35555</v>
      </c>
      <c r="L52" s="58">
        <v>0.1453454748795745</v>
      </c>
      <c r="M52" s="59"/>
      <c r="N52" s="58">
        <v>48.49099182115</v>
      </c>
      <c r="O52" s="60">
        <v>34.88945</v>
      </c>
      <c r="P52" s="61"/>
      <c r="Q52" s="62">
        <v>47.80031</v>
      </c>
      <c r="R52" s="63"/>
      <c r="S52" s="19">
        <v>813.5295218264498</v>
      </c>
      <c r="W52" s="12"/>
      <c r="Y52" s="12"/>
      <c r="Z52" s="12"/>
      <c r="AA52" s="12"/>
      <c r="AB52" s="12"/>
      <c r="AC52" s="12"/>
      <c r="AD52" s="12"/>
      <c r="AE52" s="12"/>
      <c r="AF52" s="10"/>
      <c r="AG52" s="10"/>
      <c r="AH52" s="10"/>
      <c r="AI52" s="10"/>
      <c r="AJ52" s="10"/>
      <c r="AK52" s="12"/>
      <c r="AL52" s="10"/>
      <c r="AM52" s="67"/>
      <c r="AN52" s="12" t="s">
        <v>50</v>
      </c>
      <c r="AO52" s="12" t="s">
        <v>50</v>
      </c>
      <c r="AP52" s="12"/>
      <c r="AQ52" s="12"/>
      <c r="AR52" s="12" t="s">
        <v>50</v>
      </c>
      <c r="AS52" s="12"/>
      <c r="AT52" s="51" t="s">
        <v>50</v>
      </c>
      <c r="AU52" s="12">
        <v>24.2</v>
      </c>
      <c r="AV52" s="12"/>
      <c r="AW52" s="12">
        <v>24.8</v>
      </c>
      <c r="AX52" s="12">
        <v>29.6</v>
      </c>
      <c r="AY52" s="12">
        <v>39.2</v>
      </c>
      <c r="AZ52" s="51" t="s">
        <v>50</v>
      </c>
    </row>
    <row r="53" ht="14.25" customHeight="1">
      <c r="A53" s="26"/>
      <c r="B53" s="10" t="s">
        <v>269</v>
      </c>
      <c r="C53" s="49">
        <v>0.3134</v>
      </c>
      <c r="D53" s="10" t="s">
        <v>26</v>
      </c>
      <c r="E53" s="10" t="s">
        <v>27</v>
      </c>
      <c r="F53" s="10">
        <v>63.0</v>
      </c>
      <c r="G53" s="10">
        <v>7.0</v>
      </c>
      <c r="H53" s="55">
        <v>132.7737</v>
      </c>
      <c r="I53" s="56">
        <v>2877.274972436604</v>
      </c>
      <c r="J53" s="57"/>
      <c r="K53" s="55">
        <v>2.53722</v>
      </c>
      <c r="L53" s="58">
        <v>0.18485444835005896</v>
      </c>
      <c r="M53" s="59"/>
      <c r="N53" s="58">
        <v>56.03961291929997</v>
      </c>
      <c r="O53" s="62">
        <v>51.5791</v>
      </c>
      <c r="P53" s="61"/>
      <c r="Q53" s="62">
        <v>51.2642</v>
      </c>
      <c r="R53" s="63"/>
      <c r="S53" s="19">
        <v>818.7280567216498</v>
      </c>
      <c r="W53" s="12"/>
      <c r="Y53" s="12"/>
      <c r="Z53" s="12"/>
      <c r="AA53" s="12"/>
      <c r="AB53" s="12"/>
      <c r="AC53" s="12"/>
      <c r="AD53" s="12"/>
      <c r="AE53" s="12"/>
      <c r="AF53" s="10"/>
      <c r="AG53" s="10"/>
      <c r="AH53" s="10"/>
      <c r="AM53" s="2"/>
      <c r="AN53" s="12" t="s">
        <v>50</v>
      </c>
      <c r="AO53" s="12" t="s">
        <v>50</v>
      </c>
      <c r="AP53" s="12"/>
      <c r="AQ53" s="12"/>
      <c r="AR53" s="12" t="s">
        <v>50</v>
      </c>
      <c r="AS53" s="12"/>
      <c r="AT53" s="51" t="s">
        <v>50</v>
      </c>
      <c r="AU53" s="12">
        <v>26.1</v>
      </c>
      <c r="AV53" s="12"/>
      <c r="AW53" s="12">
        <v>28.2</v>
      </c>
      <c r="AX53" s="12">
        <v>32.4</v>
      </c>
      <c r="AY53" s="12">
        <v>43.3</v>
      </c>
      <c r="AZ53" s="51" t="s">
        <v>50</v>
      </c>
    </row>
    <row r="54" ht="14.25" customHeight="1">
      <c r="A54" s="26"/>
      <c r="B54" s="10" t="s">
        <v>269</v>
      </c>
      <c r="C54" s="49">
        <v>0.3134</v>
      </c>
      <c r="D54" s="10" t="s">
        <v>26</v>
      </c>
      <c r="E54" s="10" t="s">
        <v>27</v>
      </c>
      <c r="F54" s="10">
        <v>80.0</v>
      </c>
      <c r="G54" s="10">
        <v>7.0</v>
      </c>
      <c r="H54" s="55">
        <v>196.66119</v>
      </c>
      <c r="I54" s="56">
        <v>6433.639588859416</v>
      </c>
      <c r="J54" s="57"/>
      <c r="K54" s="55">
        <v>2.57355</v>
      </c>
      <c r="L54" s="58">
        <v>0.1315079168096243</v>
      </c>
      <c r="M54" s="59"/>
      <c r="N54" s="58">
        <v>59.3181546513</v>
      </c>
      <c r="O54" s="62">
        <v>42.91938</v>
      </c>
      <c r="P54" s="61"/>
      <c r="Q54" s="62">
        <v>61.97077</v>
      </c>
      <c r="R54" s="63"/>
      <c r="S54" s="19">
        <v>870.3097868804497</v>
      </c>
      <c r="W54" s="12"/>
      <c r="Y54" s="12"/>
      <c r="Z54" s="12"/>
      <c r="AA54" s="12"/>
      <c r="AB54" s="12"/>
      <c r="AC54" s="12"/>
      <c r="AD54" s="12"/>
      <c r="AE54" s="12"/>
      <c r="AF54" s="10"/>
      <c r="AG54" s="10"/>
      <c r="AH54" s="10"/>
      <c r="AM54" s="2"/>
      <c r="AN54" s="12">
        <v>7.8</v>
      </c>
      <c r="AO54" s="12">
        <v>11.5</v>
      </c>
      <c r="AP54" s="12"/>
      <c r="AQ54" s="12"/>
      <c r="AR54" s="12">
        <v>22.2</v>
      </c>
      <c r="AS54" s="12"/>
      <c r="AT54" s="51">
        <v>24.8</v>
      </c>
      <c r="AU54" s="12">
        <v>26.4</v>
      </c>
      <c r="AV54" s="12"/>
      <c r="AW54" s="12">
        <v>35.8</v>
      </c>
      <c r="AX54" s="12">
        <v>39.8</v>
      </c>
      <c r="AY54" s="12">
        <v>37.9</v>
      </c>
      <c r="AZ54" s="51">
        <v>47.4</v>
      </c>
    </row>
    <row r="55" ht="14.25" customHeight="1">
      <c r="A55" s="26"/>
      <c r="B55" s="10" t="s">
        <v>269</v>
      </c>
      <c r="C55" s="49">
        <v>0.3134</v>
      </c>
      <c r="D55" s="10" t="s">
        <v>26</v>
      </c>
      <c r="E55" s="10" t="s">
        <v>270</v>
      </c>
      <c r="F55" s="10">
        <v>2.0</v>
      </c>
      <c r="G55" s="10">
        <v>11.0</v>
      </c>
      <c r="H55" s="55">
        <v>128.74102</v>
      </c>
      <c r="I55" s="56">
        <v>3688.582837456937</v>
      </c>
      <c r="J55" s="57"/>
      <c r="K55" s="55">
        <v>3.3002</v>
      </c>
      <c r="L55" s="58">
        <v>0.28307556020952196</v>
      </c>
      <c r="M55" s="59"/>
      <c r="N55" s="58">
        <v>60.71306055169998</v>
      </c>
      <c r="O55" s="62">
        <v>49.21736</v>
      </c>
      <c r="P55" s="61"/>
      <c r="Q55" s="62">
        <v>62.44311</v>
      </c>
      <c r="R55" s="63"/>
      <c r="S55" s="19">
        <v>897.2567198212502</v>
      </c>
      <c r="W55" s="12"/>
      <c r="Y55" s="12"/>
      <c r="Z55" s="12"/>
      <c r="AA55" s="12"/>
      <c r="AB55" s="12"/>
      <c r="AC55" s="12"/>
      <c r="AD55" s="12"/>
      <c r="AE55" s="12"/>
      <c r="AF55" s="10"/>
      <c r="AG55" s="10"/>
      <c r="AH55" s="10"/>
      <c r="AM55" s="2"/>
      <c r="AN55" s="12">
        <v>10.0</v>
      </c>
      <c r="AO55" s="12">
        <v>24.7</v>
      </c>
      <c r="AP55" s="12"/>
      <c r="AQ55" s="12"/>
      <c r="AR55" s="12">
        <v>25.7</v>
      </c>
      <c r="AS55" s="12"/>
      <c r="AT55" s="51">
        <v>32.5</v>
      </c>
      <c r="AU55" s="12">
        <v>30.5</v>
      </c>
      <c r="AV55" s="12"/>
      <c r="AW55" s="12">
        <v>38.3</v>
      </c>
      <c r="AX55" s="12">
        <v>39.6</v>
      </c>
      <c r="AY55" s="12">
        <v>48.6</v>
      </c>
      <c r="AZ55" s="51">
        <v>53.7</v>
      </c>
    </row>
    <row r="56" ht="14.25" customHeight="1">
      <c r="A56" s="26"/>
      <c r="B56" s="10" t="s">
        <v>269</v>
      </c>
      <c r="C56" s="49">
        <v>0.3134</v>
      </c>
      <c r="D56" s="10" t="s">
        <v>26</v>
      </c>
      <c r="E56" s="10" t="s">
        <v>271</v>
      </c>
      <c r="F56" s="10">
        <v>73.0</v>
      </c>
      <c r="G56" s="10">
        <v>3.0</v>
      </c>
      <c r="H56" s="55">
        <v>150.41767</v>
      </c>
      <c r="I56" s="68">
        <v>8775.970985155194</v>
      </c>
      <c r="J56" s="57"/>
      <c r="K56" s="55">
        <v>3.19931</v>
      </c>
      <c r="L56" s="58">
        <v>0.2808110632046995</v>
      </c>
      <c r="M56" s="59"/>
      <c r="N56" s="58">
        <v>59.07671589804999</v>
      </c>
      <c r="O56" s="62">
        <v>31.18939</v>
      </c>
      <c r="P56" s="61"/>
      <c r="Q56" s="62">
        <v>60.475</v>
      </c>
      <c r="R56" s="63"/>
      <c r="S56" s="19">
        <v>806.0303342082498</v>
      </c>
      <c r="W56" s="12"/>
      <c r="Y56" s="12"/>
      <c r="Z56" s="12"/>
      <c r="AA56" s="12"/>
      <c r="AB56" s="12"/>
      <c r="AC56" s="12"/>
      <c r="AD56" s="12"/>
      <c r="AE56" s="12"/>
      <c r="AF56" s="10"/>
      <c r="AG56" s="10"/>
      <c r="AH56" s="10"/>
      <c r="AM56" s="2"/>
      <c r="AN56" s="12">
        <v>5.9</v>
      </c>
      <c r="AO56" s="12">
        <v>8.4</v>
      </c>
      <c r="AP56" s="12"/>
      <c r="AQ56" s="12"/>
      <c r="AR56" s="12">
        <v>29.3</v>
      </c>
      <c r="AS56" s="12"/>
      <c r="AT56" s="51">
        <v>32.4</v>
      </c>
      <c r="AU56" s="12">
        <v>27.1</v>
      </c>
      <c r="AV56" s="12"/>
      <c r="AW56" s="12">
        <v>36.2</v>
      </c>
      <c r="AX56" s="12">
        <v>38.4</v>
      </c>
      <c r="AY56" s="12">
        <v>46.1</v>
      </c>
      <c r="AZ56" s="51">
        <v>46.2</v>
      </c>
    </row>
    <row r="57" ht="14.25" customHeight="1">
      <c r="A57" s="26"/>
      <c r="B57" s="10" t="s">
        <v>25</v>
      </c>
      <c r="C57" s="49">
        <v>0.50333333</v>
      </c>
      <c r="D57" s="10" t="s">
        <v>94</v>
      </c>
      <c r="E57" s="10" t="s">
        <v>27</v>
      </c>
      <c r="F57" s="10">
        <v>63.0</v>
      </c>
      <c r="G57" s="10">
        <v>5.0</v>
      </c>
      <c r="H57" s="55">
        <v>45.53012</v>
      </c>
      <c r="I57" s="68">
        <v>963.9516267123287</v>
      </c>
      <c r="J57" s="57"/>
      <c r="K57" s="55">
        <v>4.26423</v>
      </c>
      <c r="L57" s="58">
        <v>0.46294365068465243</v>
      </c>
      <c r="M57" s="69"/>
      <c r="N57" s="70">
        <v>65.93378199220003</v>
      </c>
      <c r="O57" s="62">
        <v>27.57552</v>
      </c>
      <c r="P57" s="71"/>
      <c r="Q57" s="62">
        <v>35.1752</v>
      </c>
      <c r="R57" s="72"/>
      <c r="S57" s="49">
        <v>704.7336203040493</v>
      </c>
      <c r="W57" s="12"/>
      <c r="Y57" s="12"/>
      <c r="Z57" s="12"/>
      <c r="AA57" s="12"/>
      <c r="AB57" s="12"/>
      <c r="AC57" s="12"/>
      <c r="AD57" s="12"/>
      <c r="AE57" s="12"/>
      <c r="AF57" s="10"/>
      <c r="AG57" s="10"/>
      <c r="AH57" s="10"/>
      <c r="AM57" s="2"/>
      <c r="AN57" s="12">
        <v>1.3</v>
      </c>
      <c r="AO57" s="12">
        <v>5.7</v>
      </c>
      <c r="AP57" s="12"/>
      <c r="AQ57" s="12"/>
      <c r="AR57" s="12">
        <v>23.9</v>
      </c>
      <c r="AS57" s="12"/>
      <c r="AT57" s="51">
        <v>28.8</v>
      </c>
      <c r="AU57" s="12">
        <v>22.0</v>
      </c>
      <c r="AV57" s="12"/>
      <c r="AW57" s="12">
        <v>31.4</v>
      </c>
      <c r="AX57" s="12">
        <v>27.2</v>
      </c>
      <c r="AY57" s="12">
        <v>40.0</v>
      </c>
      <c r="AZ57" s="51">
        <v>35.9</v>
      </c>
    </row>
    <row r="58" ht="14.25" customHeight="1">
      <c r="A58" s="26"/>
      <c r="B58" s="10" t="s">
        <v>25</v>
      </c>
      <c r="C58" s="49">
        <v>0.50333333</v>
      </c>
      <c r="D58" s="10" t="s">
        <v>94</v>
      </c>
      <c r="E58" s="10" t="s">
        <v>27</v>
      </c>
      <c r="F58" s="10">
        <v>63.0</v>
      </c>
      <c r="G58" s="10">
        <v>7.0</v>
      </c>
      <c r="H58" s="55">
        <v>46.94186</v>
      </c>
      <c r="I58" s="68">
        <v>1520.2807994757534</v>
      </c>
      <c r="J58" s="57"/>
      <c r="K58" s="55">
        <v>4.30152</v>
      </c>
      <c r="L58" s="58">
        <v>0.46953617975814504</v>
      </c>
      <c r="M58" s="69"/>
      <c r="N58" s="70">
        <v>67.22412766819998</v>
      </c>
      <c r="O58" s="62">
        <v>32.40741</v>
      </c>
      <c r="P58" s="71"/>
      <c r="Q58" s="62">
        <v>36.36767</v>
      </c>
      <c r="R58" s="72"/>
      <c r="S58" s="49">
        <v>681.9570668979005</v>
      </c>
      <c r="W58" s="12"/>
      <c r="Y58" s="12"/>
      <c r="Z58" s="12"/>
      <c r="AA58" s="12"/>
      <c r="AB58" s="12"/>
      <c r="AC58" s="12"/>
      <c r="AD58" s="12"/>
      <c r="AE58" s="12"/>
      <c r="AF58" s="10"/>
      <c r="AG58" s="10"/>
      <c r="AH58" s="10"/>
      <c r="AM58" s="2"/>
      <c r="AN58" s="12">
        <v>2.1</v>
      </c>
      <c r="AO58" s="12">
        <v>10.7</v>
      </c>
      <c r="AP58" s="12"/>
      <c r="AQ58" s="12"/>
      <c r="AR58" s="12">
        <v>23.7</v>
      </c>
      <c r="AS58" s="12"/>
      <c r="AT58" s="51">
        <v>30.0</v>
      </c>
      <c r="AU58" s="12">
        <v>20.2</v>
      </c>
      <c r="AV58" s="12"/>
      <c r="AW58" s="12">
        <v>28.2</v>
      </c>
      <c r="AX58" s="12">
        <v>29.1</v>
      </c>
      <c r="AY58" s="12">
        <v>33.2</v>
      </c>
      <c r="AZ58" s="51">
        <v>31.1</v>
      </c>
    </row>
    <row r="59" ht="14.25" customHeight="1">
      <c r="A59" s="26"/>
      <c r="B59" s="10" t="s">
        <v>25</v>
      </c>
      <c r="C59" s="49">
        <v>0.50333333</v>
      </c>
      <c r="D59" s="10" t="s">
        <v>94</v>
      </c>
      <c r="E59" s="10" t="s">
        <v>27</v>
      </c>
      <c r="F59" s="10">
        <v>80.0</v>
      </c>
      <c r="G59" s="10">
        <v>7.0</v>
      </c>
      <c r="H59" s="55">
        <v>42.00076</v>
      </c>
      <c r="I59" s="68">
        <v>1122.988861722358</v>
      </c>
      <c r="J59" s="57"/>
      <c r="K59" s="55">
        <v>5.67209</v>
      </c>
      <c r="L59" s="58">
        <v>0.6632142742848165</v>
      </c>
      <c r="M59" s="69"/>
      <c r="N59" s="70">
        <v>72.59763428970003</v>
      </c>
      <c r="O59" s="62">
        <v>31.70374</v>
      </c>
      <c r="P59" s="71"/>
      <c r="Q59" s="62">
        <v>34.23696</v>
      </c>
      <c r="R59" s="72"/>
      <c r="S59" s="49">
        <v>572.5718758393001</v>
      </c>
      <c r="W59" s="12"/>
      <c r="Y59" s="12"/>
      <c r="Z59" s="12"/>
      <c r="AA59" s="12"/>
      <c r="AB59" s="12"/>
      <c r="AC59" s="12"/>
      <c r="AD59" s="12"/>
      <c r="AE59" s="12"/>
      <c r="AF59" s="10"/>
      <c r="AG59" s="10"/>
      <c r="AH59" s="10"/>
      <c r="AM59" s="2"/>
      <c r="AN59" s="12">
        <v>1.3</v>
      </c>
      <c r="AO59" s="12">
        <v>13.0</v>
      </c>
      <c r="AP59" s="12"/>
      <c r="AQ59" s="12"/>
      <c r="AR59" s="12">
        <v>21.5</v>
      </c>
      <c r="AS59" s="12"/>
      <c r="AT59" s="51">
        <v>28.8</v>
      </c>
      <c r="AU59" s="12">
        <v>22.0</v>
      </c>
      <c r="AV59" s="12"/>
      <c r="AW59" s="12">
        <v>24.7</v>
      </c>
      <c r="AX59" s="12">
        <v>28.6</v>
      </c>
      <c r="AY59" s="12">
        <v>39.1</v>
      </c>
      <c r="AZ59" s="51">
        <v>41.4</v>
      </c>
    </row>
    <row r="60" ht="14.25" customHeight="1">
      <c r="A60" s="26"/>
      <c r="B60" s="10" t="s">
        <v>25</v>
      </c>
      <c r="C60" s="49">
        <v>0.50333333</v>
      </c>
      <c r="D60" s="10" t="s">
        <v>94</v>
      </c>
      <c r="E60" s="10" t="s">
        <v>270</v>
      </c>
      <c r="F60" s="10">
        <v>2.0</v>
      </c>
      <c r="G60" s="10">
        <v>11.0</v>
      </c>
      <c r="H60" s="55">
        <v>71.64737</v>
      </c>
      <c r="I60" s="68">
        <v>1921.7849169616118</v>
      </c>
      <c r="J60" s="57"/>
      <c r="K60" s="55">
        <v>5.86789</v>
      </c>
      <c r="L60" s="58">
        <v>0.7699455485878393</v>
      </c>
      <c r="M60" s="69"/>
      <c r="N60" s="70">
        <v>75.90520870349998</v>
      </c>
      <c r="O60" s="62">
        <v>35.40976</v>
      </c>
      <c r="P60" s="71"/>
      <c r="Q60" s="62">
        <v>31.37536</v>
      </c>
      <c r="R60" s="72"/>
      <c r="S60" s="49">
        <v>652.15477849065</v>
      </c>
      <c r="W60" s="12"/>
      <c r="Y60" s="12"/>
      <c r="Z60" s="12"/>
      <c r="AA60" s="12"/>
      <c r="AB60" s="12"/>
      <c r="AC60" s="12"/>
      <c r="AD60" s="12"/>
      <c r="AE60" s="12"/>
      <c r="AF60" s="10"/>
      <c r="AG60" s="10"/>
      <c r="AH60" s="10"/>
      <c r="AM60" s="2"/>
      <c r="AN60" s="12" t="s">
        <v>50</v>
      </c>
      <c r="AO60" s="12">
        <v>6.9</v>
      </c>
      <c r="AP60" s="12"/>
      <c r="AQ60" s="12"/>
      <c r="AR60" s="12">
        <v>22.5</v>
      </c>
      <c r="AS60" s="12"/>
      <c r="AT60" s="51">
        <v>32.4</v>
      </c>
      <c r="AU60" s="12">
        <v>20.4</v>
      </c>
      <c r="AV60" s="12"/>
      <c r="AW60" s="12">
        <v>30.1</v>
      </c>
      <c r="AX60" s="12">
        <v>29.5</v>
      </c>
      <c r="AY60" s="12">
        <v>35.1</v>
      </c>
      <c r="AZ60" s="51">
        <v>38.9</v>
      </c>
    </row>
    <row r="61" ht="14.25" customHeight="1">
      <c r="A61" s="26"/>
      <c r="B61" s="10" t="s">
        <v>25</v>
      </c>
      <c r="C61" s="49">
        <v>0.50333333</v>
      </c>
      <c r="D61" s="10" t="s">
        <v>94</v>
      </c>
      <c r="E61" s="10" t="s">
        <v>271</v>
      </c>
      <c r="F61" s="10">
        <v>73.0</v>
      </c>
      <c r="G61" s="10">
        <v>3.0</v>
      </c>
      <c r="H61" s="55">
        <v>31.05975</v>
      </c>
      <c r="I61" s="68">
        <v>646.1623876765084</v>
      </c>
      <c r="J61" s="57"/>
      <c r="K61" s="55">
        <v>4.67447</v>
      </c>
      <c r="L61" s="58">
        <v>0.6113079855691734</v>
      </c>
      <c r="M61" s="69"/>
      <c r="N61" s="70">
        <v>62.465343309849985</v>
      </c>
      <c r="O61" s="62">
        <v>26.3089</v>
      </c>
      <c r="P61" s="71"/>
      <c r="Q61" s="62">
        <v>32.64197</v>
      </c>
      <c r="R61" s="72"/>
      <c r="S61" s="49">
        <v>627.2913593499001</v>
      </c>
      <c r="W61" s="12"/>
      <c r="Y61" s="12"/>
      <c r="Z61" s="12"/>
      <c r="AA61" s="12"/>
      <c r="AB61" s="12"/>
      <c r="AC61" s="12"/>
      <c r="AD61" s="12"/>
      <c r="AE61" s="12"/>
      <c r="AF61" s="10"/>
      <c r="AG61" s="10"/>
      <c r="AH61" s="10"/>
      <c r="AM61" s="2"/>
      <c r="AN61" s="12">
        <v>1.8</v>
      </c>
      <c r="AO61" s="12">
        <v>19.0</v>
      </c>
      <c r="AP61" s="12"/>
      <c r="AQ61" s="12"/>
      <c r="AR61" s="12">
        <v>26.6</v>
      </c>
      <c r="AS61" s="12"/>
      <c r="AT61" s="51">
        <v>26.2</v>
      </c>
      <c r="AU61" s="12">
        <v>21.0</v>
      </c>
      <c r="AV61" s="12"/>
      <c r="AW61" s="12">
        <v>26.6</v>
      </c>
      <c r="AX61" s="12">
        <v>27.2</v>
      </c>
      <c r="AY61" s="12">
        <v>30.8</v>
      </c>
      <c r="AZ61" s="51">
        <v>36.5</v>
      </c>
    </row>
    <row r="62" ht="14.25" customHeight="1">
      <c r="A62" s="26"/>
      <c r="B62" s="10" t="s">
        <v>25</v>
      </c>
      <c r="C62" s="49">
        <v>0.50333333</v>
      </c>
      <c r="D62" s="10" t="s">
        <v>26</v>
      </c>
      <c r="E62" s="10" t="s">
        <v>27</v>
      </c>
      <c r="F62" s="10">
        <v>63.0</v>
      </c>
      <c r="G62" s="10">
        <v>5.0</v>
      </c>
      <c r="H62" s="55">
        <v>38.8495</v>
      </c>
      <c r="I62" s="68">
        <v>823.6334185848252</v>
      </c>
      <c r="J62" s="57"/>
      <c r="K62" s="55">
        <v>2.85972</v>
      </c>
      <c r="L62" s="58">
        <v>0.33737986479079113</v>
      </c>
      <c r="M62" s="69"/>
      <c r="N62" s="70">
        <v>55.238832024600015</v>
      </c>
      <c r="O62" s="62">
        <v>28.02969</v>
      </c>
      <c r="P62" s="71"/>
      <c r="Q62" s="62">
        <v>28.7497</v>
      </c>
      <c r="R62" s="72"/>
      <c r="S62" s="49">
        <v>555.7653016861</v>
      </c>
      <c r="W62" s="12"/>
      <c r="Y62" s="12"/>
      <c r="Z62" s="12"/>
      <c r="AA62" s="12"/>
      <c r="AB62" s="12"/>
      <c r="AC62" s="12"/>
      <c r="AD62" s="12"/>
      <c r="AE62" s="12"/>
      <c r="AF62" s="10"/>
      <c r="AG62" s="10"/>
      <c r="AH62" s="10"/>
      <c r="AM62" s="2"/>
      <c r="AN62" s="12">
        <v>2.1</v>
      </c>
      <c r="AO62" s="12">
        <v>5.8</v>
      </c>
      <c r="AP62" s="12"/>
      <c r="AQ62" s="12"/>
      <c r="AR62" s="12">
        <v>17.6</v>
      </c>
      <c r="AS62" s="12"/>
      <c r="AT62" s="51">
        <v>24.9</v>
      </c>
      <c r="AU62" s="12">
        <v>15.4</v>
      </c>
      <c r="AV62" s="12"/>
      <c r="AW62" s="12">
        <v>26.7</v>
      </c>
      <c r="AX62" s="12">
        <v>27.3</v>
      </c>
      <c r="AY62" s="12">
        <v>35.3</v>
      </c>
      <c r="AZ62" s="51">
        <v>38.9</v>
      </c>
    </row>
    <row r="63" ht="14.25" customHeight="1">
      <c r="A63" s="26"/>
      <c r="B63" s="10" t="s">
        <v>25</v>
      </c>
      <c r="C63" s="49">
        <v>0.50333333</v>
      </c>
      <c r="D63" s="10" t="s">
        <v>26</v>
      </c>
      <c r="E63" s="10" t="s">
        <v>27</v>
      </c>
      <c r="F63" s="10">
        <v>63.0</v>
      </c>
      <c r="G63" s="10">
        <v>7.0</v>
      </c>
      <c r="H63" s="55">
        <v>52.55366</v>
      </c>
      <c r="I63" s="68">
        <v>1027.7315198107628</v>
      </c>
      <c r="J63" s="57"/>
      <c r="K63" s="55">
        <v>2.81309</v>
      </c>
      <c r="L63" s="58">
        <v>0.3110219232544774</v>
      </c>
      <c r="M63" s="69"/>
      <c r="N63" s="70">
        <v>56.77988854854998</v>
      </c>
      <c r="O63" s="62">
        <v>30.23773</v>
      </c>
      <c r="P63" s="71"/>
      <c r="Q63" s="62">
        <v>29.32572</v>
      </c>
      <c r="R63" s="72"/>
      <c r="S63" s="49">
        <v>621.9457123633501</v>
      </c>
      <c r="W63" s="12"/>
      <c r="Y63" s="12"/>
      <c r="Z63" s="12"/>
      <c r="AA63" s="12"/>
      <c r="AB63" s="12"/>
      <c r="AC63" s="12"/>
      <c r="AD63" s="12"/>
      <c r="AE63" s="12"/>
      <c r="AF63" s="10"/>
      <c r="AG63" s="10"/>
      <c r="AH63" s="10"/>
      <c r="AM63" s="2"/>
      <c r="AN63" s="12">
        <v>0.7</v>
      </c>
      <c r="AO63" s="12">
        <v>4.4</v>
      </c>
      <c r="AP63" s="12"/>
      <c r="AQ63" s="12"/>
      <c r="AR63" s="12">
        <v>16.0</v>
      </c>
      <c r="AS63" s="12"/>
      <c r="AT63" s="51">
        <v>25.3</v>
      </c>
      <c r="AU63" s="12">
        <v>15.1</v>
      </c>
      <c r="AV63" s="12"/>
      <c r="AW63" s="12">
        <v>27.8</v>
      </c>
      <c r="AX63" s="12">
        <v>26.4</v>
      </c>
      <c r="AY63" s="12">
        <v>28.8</v>
      </c>
      <c r="AZ63" s="51">
        <v>41.9</v>
      </c>
    </row>
    <row r="64" ht="14.25" customHeight="1">
      <c r="A64" s="26"/>
      <c r="B64" s="10" t="s">
        <v>25</v>
      </c>
      <c r="C64" s="49">
        <v>0.50333333</v>
      </c>
      <c r="D64" s="10" t="s">
        <v>26</v>
      </c>
      <c r="E64" s="10" t="s">
        <v>27</v>
      </c>
      <c r="F64" s="10">
        <v>80.0</v>
      </c>
      <c r="G64" s="10">
        <v>7.0</v>
      </c>
      <c r="H64" s="55">
        <v>45.87728</v>
      </c>
      <c r="I64" s="68">
        <v>799.6266996291719</v>
      </c>
      <c r="J64" s="57"/>
      <c r="K64" s="55">
        <v>4.03475</v>
      </c>
      <c r="L64" s="58">
        <v>0.35344486601882336</v>
      </c>
      <c r="M64" s="69"/>
      <c r="N64" s="70">
        <v>62.08473532559999</v>
      </c>
      <c r="O64" s="62">
        <v>30.14173</v>
      </c>
      <c r="P64" s="71"/>
      <c r="Q64" s="62">
        <v>28.6057</v>
      </c>
      <c r="R64" s="72"/>
      <c r="S64" s="49">
        <v>609.26044695175</v>
      </c>
      <c r="W64" s="12"/>
      <c r="Y64" s="12"/>
      <c r="Z64" s="12"/>
      <c r="AA64" s="12"/>
      <c r="AB64" s="12"/>
      <c r="AC64" s="12"/>
      <c r="AD64" s="12"/>
      <c r="AE64" s="12"/>
      <c r="AF64" s="10"/>
      <c r="AG64" s="10"/>
      <c r="AH64" s="10"/>
      <c r="AM64" s="2"/>
      <c r="AN64" s="12" t="s">
        <v>50</v>
      </c>
      <c r="AO64" s="12" t="s">
        <v>50</v>
      </c>
      <c r="AP64" s="12"/>
      <c r="AQ64" s="12"/>
      <c r="AR64" s="12">
        <v>19.9</v>
      </c>
      <c r="AS64" s="12"/>
      <c r="AT64" s="51">
        <v>24.0</v>
      </c>
      <c r="AU64" s="12">
        <v>18.3</v>
      </c>
      <c r="AV64" s="12"/>
      <c r="AW64" s="12">
        <v>25.7</v>
      </c>
      <c r="AX64" s="12">
        <v>29.9</v>
      </c>
      <c r="AY64" s="12">
        <v>30.8</v>
      </c>
      <c r="AZ64" s="51">
        <v>30.1</v>
      </c>
    </row>
    <row r="65" ht="14.25" customHeight="1">
      <c r="A65" s="26"/>
      <c r="B65" s="10" t="s">
        <v>25</v>
      </c>
      <c r="C65" s="49">
        <v>0.50333333</v>
      </c>
      <c r="D65" s="10" t="s">
        <v>26</v>
      </c>
      <c r="E65" s="10" t="s">
        <v>270</v>
      </c>
      <c r="F65" s="10">
        <v>2.0</v>
      </c>
      <c r="G65" s="10">
        <v>11.0</v>
      </c>
      <c r="H65" s="55">
        <v>71.88004</v>
      </c>
      <c r="I65" s="68">
        <v>1501.9818337251547</v>
      </c>
      <c r="J65" s="57"/>
      <c r="K65" s="55">
        <v>3.36331</v>
      </c>
      <c r="L65" s="58">
        <v>0.2906191879643413</v>
      </c>
      <c r="M65" s="69"/>
      <c r="N65" s="70">
        <v>59.94218739649998</v>
      </c>
      <c r="O65" s="62">
        <v>34.55782</v>
      </c>
      <c r="P65" s="71"/>
      <c r="Q65" s="62">
        <v>29.27771</v>
      </c>
      <c r="R65" s="72"/>
      <c r="S65" s="49">
        <v>570.56437112925</v>
      </c>
      <c r="W65" s="12"/>
      <c r="Y65" s="12"/>
      <c r="Z65" s="12"/>
      <c r="AA65" s="12"/>
      <c r="AB65" s="12"/>
      <c r="AC65" s="12"/>
      <c r="AD65" s="12"/>
      <c r="AE65" s="12"/>
      <c r="AF65" s="10"/>
      <c r="AG65" s="10"/>
      <c r="AH65" s="10"/>
      <c r="AM65" s="2"/>
      <c r="AN65" s="12">
        <v>4.8</v>
      </c>
      <c r="AO65" s="12">
        <v>6.4</v>
      </c>
      <c r="AP65" s="12"/>
      <c r="AQ65" s="12"/>
      <c r="AR65" s="12">
        <v>23.8</v>
      </c>
      <c r="AS65" s="12"/>
      <c r="AT65" s="51">
        <v>24.9</v>
      </c>
      <c r="AU65" s="12">
        <v>14.4</v>
      </c>
      <c r="AV65" s="12"/>
      <c r="AW65" s="12">
        <v>19.6</v>
      </c>
      <c r="AX65" s="12">
        <v>26.7</v>
      </c>
      <c r="AY65" s="12">
        <v>29.4</v>
      </c>
      <c r="AZ65" s="51">
        <v>29.5</v>
      </c>
    </row>
    <row r="66" ht="14.25" customHeight="1">
      <c r="A66" s="33"/>
      <c r="B66" s="34" t="s">
        <v>25</v>
      </c>
      <c r="C66" s="52">
        <v>0.50333333</v>
      </c>
      <c r="D66" s="34" t="s">
        <v>26</v>
      </c>
      <c r="E66" s="34" t="s">
        <v>271</v>
      </c>
      <c r="F66" s="34">
        <v>73.0</v>
      </c>
      <c r="G66" s="34">
        <v>3.0</v>
      </c>
      <c r="H66" s="73">
        <v>26.90229</v>
      </c>
      <c r="I66" s="74">
        <v>772.4021671826627</v>
      </c>
      <c r="J66" s="75"/>
      <c r="K66" s="73">
        <v>3.73633</v>
      </c>
      <c r="L66" s="76">
        <v>0.4351171014411405</v>
      </c>
      <c r="M66" s="77"/>
      <c r="N66" s="76">
        <v>52.85892312354999</v>
      </c>
      <c r="O66" s="78">
        <v>24.66962</v>
      </c>
      <c r="P66" s="79"/>
      <c r="Q66" s="78">
        <v>29.66172</v>
      </c>
      <c r="R66" s="41"/>
      <c r="S66" s="42">
        <v>550.60203410425</v>
      </c>
      <c r="T66" s="44"/>
      <c r="U66" s="44"/>
      <c r="V66" s="44"/>
      <c r="W66" s="36"/>
      <c r="X66" s="44"/>
      <c r="Y66" s="36"/>
      <c r="Z66" s="36"/>
      <c r="AA66" s="36"/>
      <c r="AB66" s="36"/>
      <c r="AC66" s="36"/>
      <c r="AD66" s="36"/>
      <c r="AE66" s="36"/>
      <c r="AF66" s="34"/>
      <c r="AG66" s="34"/>
      <c r="AH66" s="34"/>
      <c r="AI66" s="44"/>
      <c r="AJ66" s="44"/>
      <c r="AK66" s="44"/>
      <c r="AL66" s="44"/>
      <c r="AM66" s="46"/>
      <c r="AN66" s="36" t="s">
        <v>50</v>
      </c>
      <c r="AO66" s="36">
        <v>2.3</v>
      </c>
      <c r="AP66" s="36"/>
      <c r="AQ66" s="36"/>
      <c r="AR66" s="36">
        <v>22.4</v>
      </c>
      <c r="AS66" s="36"/>
      <c r="AT66" s="54">
        <v>26.3</v>
      </c>
      <c r="AU66" s="36">
        <v>20.1</v>
      </c>
      <c r="AV66" s="36"/>
      <c r="AW66" s="36">
        <v>27.0</v>
      </c>
      <c r="AX66" s="36">
        <v>25.8</v>
      </c>
      <c r="AY66" s="36">
        <v>29.9</v>
      </c>
      <c r="AZ66" s="54">
        <v>34.7</v>
      </c>
    </row>
    <row r="67" ht="14.25" customHeight="1">
      <c r="A67" s="9" t="s">
        <v>272</v>
      </c>
      <c r="B67" s="10" t="s">
        <v>25</v>
      </c>
      <c r="C67" s="10">
        <v>0.42</v>
      </c>
      <c r="D67" s="10" t="s">
        <v>94</v>
      </c>
      <c r="E67" s="10" t="s">
        <v>27</v>
      </c>
      <c r="F67" s="10">
        <v>801.0</v>
      </c>
      <c r="G67" s="10">
        <v>5.0</v>
      </c>
      <c r="H67" s="80">
        <v>34.21</v>
      </c>
      <c r="I67" s="80">
        <v>821.12</v>
      </c>
      <c r="J67" s="80">
        <v>31.08</v>
      </c>
      <c r="K67" s="80">
        <v>2.98</v>
      </c>
      <c r="L67" s="80">
        <v>0.38</v>
      </c>
      <c r="M67" s="80">
        <v>166.41</v>
      </c>
      <c r="N67" s="80">
        <f t="shared" ref="N67:N88" si="2">M67+J67</f>
        <v>197.49</v>
      </c>
      <c r="O67" s="12"/>
      <c r="S67" s="2"/>
      <c r="W67" s="81">
        <v>0.39693</v>
      </c>
      <c r="Y67" s="81">
        <v>1.00276</v>
      </c>
      <c r="Z67" s="81">
        <v>1.35644</v>
      </c>
      <c r="AA67" s="81">
        <v>2.61237</v>
      </c>
      <c r="AB67" s="81">
        <v>2.94243</v>
      </c>
      <c r="AC67" s="81">
        <v>3.45402</v>
      </c>
      <c r="AD67" s="81">
        <v>5.35906</v>
      </c>
      <c r="AE67" s="81">
        <v>7.40084</v>
      </c>
      <c r="AF67" s="10"/>
      <c r="AG67" s="10"/>
      <c r="AH67" s="10"/>
      <c r="AM67" s="2"/>
      <c r="AN67" s="19">
        <v>8.46373</v>
      </c>
      <c r="AO67" s="49">
        <v>14.76135</v>
      </c>
      <c r="AP67" s="19"/>
      <c r="AQ67" s="49">
        <v>17.72325</v>
      </c>
      <c r="AR67" s="19"/>
      <c r="AS67" s="19"/>
      <c r="AT67" s="82"/>
      <c r="AU67" s="19">
        <v>26.83026</v>
      </c>
      <c r="AV67" s="19"/>
      <c r="AW67" s="19">
        <v>38.3816</v>
      </c>
      <c r="AX67" s="19">
        <v>39.06425</v>
      </c>
      <c r="AY67" s="19">
        <v>41.45532</v>
      </c>
      <c r="AZ67" s="2"/>
    </row>
    <row r="68" ht="14.25" customHeight="1">
      <c r="A68" s="26"/>
      <c r="B68" s="10" t="s">
        <v>25</v>
      </c>
      <c r="C68" s="10">
        <v>0.42</v>
      </c>
      <c r="D68" s="10" t="s">
        <v>94</v>
      </c>
      <c r="E68" s="10" t="s">
        <v>27</v>
      </c>
      <c r="F68" s="10">
        <v>802.0</v>
      </c>
      <c r="G68" s="10">
        <v>5.0</v>
      </c>
      <c r="H68" s="80">
        <v>38.99</v>
      </c>
      <c r="I68" s="80">
        <v>877.3</v>
      </c>
      <c r="J68" s="80">
        <v>38.0</v>
      </c>
      <c r="K68" s="80">
        <v>2.85</v>
      </c>
      <c r="L68" s="80">
        <v>0.33</v>
      </c>
      <c r="M68" s="80">
        <v>152.76</v>
      </c>
      <c r="N68" s="80">
        <f t="shared" si="2"/>
        <v>190.76</v>
      </c>
      <c r="O68" s="12"/>
      <c r="S68" s="2"/>
      <c r="T68" s="11"/>
      <c r="U68" s="11"/>
      <c r="V68" s="11"/>
      <c r="W68" s="81">
        <v>0.15229</v>
      </c>
      <c r="Y68" s="81">
        <v>0.63693</v>
      </c>
      <c r="Z68" s="81">
        <v>1.15497</v>
      </c>
      <c r="AA68" s="81">
        <v>1.42488</v>
      </c>
      <c r="AB68" s="81">
        <v>1.71207</v>
      </c>
      <c r="AC68" s="81">
        <v>2.47074</v>
      </c>
      <c r="AD68" s="81">
        <v>2.76561</v>
      </c>
      <c r="AE68" s="81">
        <v>5.0041</v>
      </c>
      <c r="AF68" s="10"/>
      <c r="AG68" s="10"/>
      <c r="AH68" s="11"/>
      <c r="AI68" s="11"/>
      <c r="AJ68" s="11"/>
      <c r="AK68" s="11"/>
      <c r="AL68" s="11"/>
      <c r="AM68" s="2"/>
      <c r="AN68" s="19">
        <v>7.19845</v>
      </c>
      <c r="AO68" s="49">
        <v>14.01369</v>
      </c>
      <c r="AP68" s="19"/>
      <c r="AQ68" s="49">
        <v>16.19916</v>
      </c>
      <c r="AR68" s="19"/>
      <c r="AS68" s="19"/>
      <c r="AT68" s="83"/>
      <c r="AU68" s="19">
        <v>23.98304</v>
      </c>
      <c r="AV68" s="19"/>
      <c r="AW68" s="19">
        <v>40.36759</v>
      </c>
      <c r="AX68" s="19">
        <v>42.5469</v>
      </c>
      <c r="AY68" s="19">
        <v>45.55418</v>
      </c>
      <c r="AZ68" s="2"/>
    </row>
    <row r="69" ht="13.5" customHeight="1">
      <c r="A69" s="26"/>
      <c r="B69" s="10" t="s">
        <v>25</v>
      </c>
      <c r="C69" s="10">
        <v>0.42</v>
      </c>
      <c r="D69" s="10" t="s">
        <v>94</v>
      </c>
      <c r="E69" s="10" t="s">
        <v>27</v>
      </c>
      <c r="F69" s="10">
        <v>803.0</v>
      </c>
      <c r="G69" s="10">
        <v>5.0</v>
      </c>
      <c r="H69" s="80">
        <v>37.49</v>
      </c>
      <c r="I69" s="80">
        <v>843.56</v>
      </c>
      <c r="J69" s="80">
        <v>36.53</v>
      </c>
      <c r="K69" s="80">
        <v>2.74</v>
      </c>
      <c r="L69" s="80">
        <v>0.32</v>
      </c>
      <c r="M69" s="80">
        <v>145.01</v>
      </c>
      <c r="N69" s="80">
        <f t="shared" si="2"/>
        <v>181.54</v>
      </c>
      <c r="O69" s="12"/>
      <c r="P69" s="28"/>
      <c r="Q69" s="28"/>
      <c r="R69" s="28"/>
      <c r="S69" s="66"/>
      <c r="T69" s="28"/>
      <c r="U69" s="28"/>
      <c r="V69" s="28"/>
      <c r="W69" s="81">
        <v>0.04628</v>
      </c>
      <c r="Y69" s="81">
        <v>0.789</v>
      </c>
      <c r="Z69" s="81">
        <v>1.43201</v>
      </c>
      <c r="AA69" s="81">
        <v>2.60642</v>
      </c>
      <c r="AB69" s="81">
        <v>2.29768</v>
      </c>
      <c r="AC69" s="81">
        <v>4.24328</v>
      </c>
      <c r="AD69" s="81">
        <v>3.35476</v>
      </c>
      <c r="AE69" s="81">
        <v>4.90139</v>
      </c>
      <c r="AF69" s="28"/>
      <c r="AG69" s="28"/>
      <c r="AH69" s="28"/>
      <c r="AI69" s="28"/>
      <c r="AJ69" s="28"/>
      <c r="AK69" s="28"/>
      <c r="AL69" s="28"/>
      <c r="AM69" s="66"/>
      <c r="AN69" s="49">
        <v>8.98134</v>
      </c>
      <c r="AO69" s="49">
        <v>14.56006</v>
      </c>
      <c r="AP69" s="19"/>
      <c r="AQ69" s="49">
        <v>17.4932</v>
      </c>
      <c r="AR69" s="49"/>
      <c r="AS69" s="49"/>
      <c r="AT69" s="84"/>
      <c r="AU69" s="19">
        <v>27.20824</v>
      </c>
      <c r="AV69" s="19"/>
      <c r="AW69" s="19">
        <v>37.63475</v>
      </c>
      <c r="AX69" s="19">
        <v>40.23305</v>
      </c>
      <c r="AY69" s="19">
        <v>42.32974</v>
      </c>
      <c r="AZ69" s="2"/>
    </row>
    <row r="70" ht="13.5" customHeight="1">
      <c r="A70" s="26"/>
      <c r="B70" s="10" t="s">
        <v>25</v>
      </c>
      <c r="C70" s="10">
        <v>0.42</v>
      </c>
      <c r="D70" s="10" t="s">
        <v>94</v>
      </c>
      <c r="E70" s="10" t="s">
        <v>27</v>
      </c>
      <c r="F70" s="10" t="s">
        <v>273</v>
      </c>
      <c r="G70" s="10">
        <v>5.0</v>
      </c>
      <c r="H70" s="80">
        <v>58.03</v>
      </c>
      <c r="I70" s="80">
        <v>1339.09</v>
      </c>
      <c r="J70" s="80">
        <v>44.46</v>
      </c>
      <c r="K70" s="80">
        <v>4.39</v>
      </c>
      <c r="L70" s="80">
        <v>0.47</v>
      </c>
      <c r="M70" s="80">
        <v>168.8</v>
      </c>
      <c r="N70" s="80">
        <f t="shared" si="2"/>
        <v>213.26</v>
      </c>
      <c r="O70" s="12"/>
      <c r="P70" s="10"/>
      <c r="Q70" s="10"/>
      <c r="R70" s="10"/>
      <c r="S70" s="67"/>
      <c r="T70" s="10"/>
      <c r="U70" s="10"/>
      <c r="V70" s="10"/>
      <c r="W70" s="81">
        <v>1.42649</v>
      </c>
      <c r="Y70" s="81">
        <v>2.47595</v>
      </c>
      <c r="Z70" s="81">
        <v>3.21789</v>
      </c>
      <c r="AA70" s="81">
        <v>3.65338</v>
      </c>
      <c r="AB70" s="81">
        <v>4.04616</v>
      </c>
      <c r="AC70" s="81">
        <v>4.28402</v>
      </c>
      <c r="AD70" s="81">
        <v>5.49902</v>
      </c>
      <c r="AE70" s="81">
        <v>5.95432</v>
      </c>
      <c r="AF70" s="10"/>
      <c r="AG70" s="10"/>
      <c r="AH70" s="10"/>
      <c r="AI70" s="10"/>
      <c r="AJ70" s="10"/>
      <c r="AK70" s="12"/>
      <c r="AL70" s="10"/>
      <c r="AM70" s="67"/>
      <c r="AN70" s="49">
        <v>7.70966</v>
      </c>
      <c r="AO70" s="49">
        <v>9.79048</v>
      </c>
      <c r="AP70" s="19"/>
      <c r="AQ70" s="49">
        <v>15.80595</v>
      </c>
      <c r="AR70" s="49"/>
      <c r="AS70" s="49"/>
      <c r="AT70" s="84"/>
      <c r="AU70" s="19">
        <v>23.64033</v>
      </c>
      <c r="AV70" s="19"/>
      <c r="AW70" s="19">
        <v>34.46459</v>
      </c>
      <c r="AX70" s="19">
        <v>35.98293</v>
      </c>
      <c r="AY70" s="19">
        <v>40.4559</v>
      </c>
      <c r="AZ70" s="2"/>
    </row>
    <row r="71" ht="13.5" customHeight="1">
      <c r="A71" s="26"/>
      <c r="B71" s="10" t="s">
        <v>25</v>
      </c>
      <c r="C71" s="10">
        <v>0.42</v>
      </c>
      <c r="D71" s="10" t="s">
        <v>94</v>
      </c>
      <c r="E71" s="10" t="s">
        <v>27</v>
      </c>
      <c r="F71" s="10" t="s">
        <v>274</v>
      </c>
      <c r="G71" s="10">
        <v>5.0</v>
      </c>
      <c r="H71" s="80">
        <v>61.9</v>
      </c>
      <c r="I71" s="80">
        <v>1466.16</v>
      </c>
      <c r="J71" s="80">
        <v>47.81</v>
      </c>
      <c r="K71" s="80">
        <v>4.44</v>
      </c>
      <c r="L71" s="80">
        <v>0.52</v>
      </c>
      <c r="M71" s="80">
        <v>177.05</v>
      </c>
      <c r="N71" s="80">
        <f t="shared" si="2"/>
        <v>224.86</v>
      </c>
      <c r="O71" s="12"/>
      <c r="S71" s="2"/>
      <c r="W71" s="81">
        <v>0.47797</v>
      </c>
      <c r="Y71" s="81">
        <v>1.77319</v>
      </c>
      <c r="Z71" s="81">
        <v>2.72983</v>
      </c>
      <c r="AA71" s="81">
        <v>3.53</v>
      </c>
      <c r="AB71" s="81">
        <v>3.66482</v>
      </c>
      <c r="AC71" s="81">
        <v>6.33867</v>
      </c>
      <c r="AD71" s="81">
        <v>7.61148</v>
      </c>
      <c r="AE71" s="81">
        <v>7.76674</v>
      </c>
      <c r="AI71" s="11"/>
      <c r="AJ71" s="11"/>
      <c r="AM71" s="2"/>
      <c r="AN71" s="49">
        <v>7.36916</v>
      </c>
      <c r="AO71" s="49">
        <v>9.79048</v>
      </c>
      <c r="AP71" s="19"/>
      <c r="AQ71" s="49">
        <v>14.82229</v>
      </c>
      <c r="AR71" s="19"/>
      <c r="AS71" s="19"/>
      <c r="AT71" s="82"/>
      <c r="AU71" s="19">
        <v>24.97857</v>
      </c>
      <c r="AV71" s="19"/>
      <c r="AW71" s="19">
        <v>34.67482</v>
      </c>
      <c r="AX71" s="19">
        <v>36.85856</v>
      </c>
      <c r="AY71" s="19">
        <v>44.40129</v>
      </c>
      <c r="AZ71" s="2"/>
    </row>
    <row r="72" ht="14.25" customHeight="1">
      <c r="A72" s="26"/>
      <c r="B72" s="10" t="s">
        <v>25</v>
      </c>
      <c r="C72" s="10">
        <v>0.42</v>
      </c>
      <c r="D72" s="10" t="s">
        <v>94</v>
      </c>
      <c r="E72" s="10" t="s">
        <v>27</v>
      </c>
      <c r="F72" s="10" t="s">
        <v>275</v>
      </c>
      <c r="G72" s="10">
        <v>5.0</v>
      </c>
      <c r="H72" s="80">
        <v>49.53</v>
      </c>
      <c r="I72" s="80">
        <v>1114.44</v>
      </c>
      <c r="J72" s="80">
        <v>38.47</v>
      </c>
      <c r="K72" s="80">
        <v>4.62</v>
      </c>
      <c r="L72" s="80">
        <v>0.52</v>
      </c>
      <c r="M72" s="80">
        <v>179.98</v>
      </c>
      <c r="N72" s="80">
        <f t="shared" si="2"/>
        <v>218.45</v>
      </c>
      <c r="O72" s="12"/>
      <c r="S72" s="2"/>
      <c r="W72" s="81">
        <v>0.51451</v>
      </c>
      <c r="Y72" s="81">
        <v>1.38222</v>
      </c>
      <c r="Z72" s="81">
        <v>2.08863</v>
      </c>
      <c r="AA72" s="81">
        <v>2.76015</v>
      </c>
      <c r="AB72" s="81">
        <v>2.57874</v>
      </c>
      <c r="AC72" s="81">
        <v>3.38345</v>
      </c>
      <c r="AD72" s="81">
        <v>4.67029</v>
      </c>
      <c r="AE72" s="81">
        <v>5.79253</v>
      </c>
      <c r="AI72" s="11"/>
      <c r="AJ72" s="11"/>
      <c r="AM72" s="2"/>
      <c r="AN72" s="49">
        <v>7.36916</v>
      </c>
      <c r="AO72" s="49">
        <v>10.62281</v>
      </c>
      <c r="AP72" s="19"/>
      <c r="AQ72" s="49">
        <v>16.63828</v>
      </c>
      <c r="AR72" s="19"/>
      <c r="AS72" s="19"/>
      <c r="AT72" s="82"/>
      <c r="AU72" s="19">
        <v>25.75057</v>
      </c>
      <c r="AV72" s="19"/>
      <c r="AW72" s="19">
        <v>34.42796</v>
      </c>
      <c r="AX72" s="19">
        <v>41.04378</v>
      </c>
      <c r="AY72" s="19">
        <v>47.31889</v>
      </c>
      <c r="AZ72" s="2"/>
    </row>
    <row r="73" ht="14.25" customHeight="1">
      <c r="A73" s="26"/>
      <c r="B73" s="10" t="s">
        <v>25</v>
      </c>
      <c r="C73" s="10">
        <v>0.42</v>
      </c>
      <c r="D73" s="10" t="s">
        <v>94</v>
      </c>
      <c r="E73" s="10" t="s">
        <v>27</v>
      </c>
      <c r="F73" s="85" t="s">
        <v>276</v>
      </c>
      <c r="G73" s="10">
        <v>5.0</v>
      </c>
      <c r="H73" s="80">
        <v>39.99</v>
      </c>
      <c r="I73" s="80">
        <v>972.83</v>
      </c>
      <c r="J73" s="80">
        <v>30.31</v>
      </c>
      <c r="K73" s="80">
        <v>4.36</v>
      </c>
      <c r="L73" s="80">
        <v>0.51</v>
      </c>
      <c r="M73" s="80">
        <v>164.35</v>
      </c>
      <c r="N73" s="80">
        <f t="shared" si="2"/>
        <v>194.66</v>
      </c>
      <c r="O73" s="12"/>
      <c r="S73" s="2"/>
      <c r="W73" s="81">
        <v>0.40846</v>
      </c>
      <c r="Y73" s="81">
        <v>0.62925</v>
      </c>
      <c r="Z73" s="81">
        <v>1.38165</v>
      </c>
      <c r="AA73" s="81">
        <v>1.7655</v>
      </c>
      <c r="AB73" s="81">
        <v>2.47074</v>
      </c>
      <c r="AC73" s="81" t="s">
        <v>50</v>
      </c>
      <c r="AD73" s="81">
        <v>2.95695</v>
      </c>
      <c r="AE73" s="81">
        <v>5.34339</v>
      </c>
      <c r="AM73" s="2"/>
      <c r="AN73" s="49">
        <v>6.99083</v>
      </c>
      <c r="AO73" s="49">
        <v>10.96331</v>
      </c>
      <c r="AP73" s="19"/>
      <c r="AQ73" s="49">
        <v>16.14645</v>
      </c>
      <c r="AR73" s="19"/>
      <c r="AS73" s="19"/>
      <c r="AT73" s="82"/>
      <c r="AU73" s="19">
        <v>24.74852</v>
      </c>
      <c r="AV73" s="19"/>
      <c r="AW73" s="19">
        <v>33.34402</v>
      </c>
      <c r="AX73" s="19">
        <v>37.44359</v>
      </c>
      <c r="AY73" s="19">
        <v>41.35008</v>
      </c>
      <c r="AZ73" s="2"/>
    </row>
    <row r="74" ht="14.25" customHeight="1">
      <c r="A74" s="26"/>
      <c r="B74" s="10" t="s">
        <v>25</v>
      </c>
      <c r="C74" s="10">
        <v>0.42</v>
      </c>
      <c r="D74" s="10" t="s">
        <v>94</v>
      </c>
      <c r="E74" s="10" t="s">
        <v>27</v>
      </c>
      <c r="F74" s="10">
        <v>801.0</v>
      </c>
      <c r="G74" s="10">
        <v>7.0</v>
      </c>
      <c r="H74" s="80">
        <v>52.53</v>
      </c>
      <c r="I74" s="80">
        <v>1350.73</v>
      </c>
      <c r="J74" s="80">
        <v>46.96</v>
      </c>
      <c r="K74" s="80">
        <v>2.81</v>
      </c>
      <c r="L74" s="80">
        <v>0.28</v>
      </c>
      <c r="M74" s="80">
        <v>144.84</v>
      </c>
      <c r="N74" s="80">
        <f t="shared" si="2"/>
        <v>191.8</v>
      </c>
      <c r="O74" s="12"/>
      <c r="S74" s="2"/>
      <c r="W74" s="81">
        <v>0.76133</v>
      </c>
      <c r="Y74" s="81">
        <v>2.22732</v>
      </c>
      <c r="Z74" s="81">
        <v>3.15731</v>
      </c>
      <c r="AA74" s="81">
        <v>4.52597</v>
      </c>
      <c r="AB74" s="81">
        <v>5.02987</v>
      </c>
      <c r="AC74" s="81">
        <v>7.64145</v>
      </c>
      <c r="AD74" s="81">
        <v>10.37317</v>
      </c>
      <c r="AE74" s="81">
        <v>11.31549</v>
      </c>
      <c r="AI74" s="11"/>
      <c r="AJ74" s="11"/>
      <c r="AM74" s="2"/>
      <c r="AN74" s="19">
        <v>12.43427</v>
      </c>
      <c r="AO74" s="19">
        <v>16.37548</v>
      </c>
      <c r="AP74" s="19"/>
      <c r="AQ74" s="49">
        <v>19.52844</v>
      </c>
      <c r="AR74" s="19"/>
      <c r="AS74" s="19"/>
      <c r="AT74" s="82"/>
      <c r="AU74" s="19">
        <v>25.06766</v>
      </c>
      <c r="AV74" s="19"/>
      <c r="AW74" s="19">
        <v>31.06205</v>
      </c>
      <c r="AX74" s="19">
        <v>33.90128</v>
      </c>
      <c r="AY74" s="19">
        <v>34.45089</v>
      </c>
      <c r="AZ74" s="2"/>
    </row>
    <row r="75" ht="13.5" customHeight="1">
      <c r="A75" s="26"/>
      <c r="B75" s="10" t="s">
        <v>25</v>
      </c>
      <c r="C75" s="10">
        <v>0.42</v>
      </c>
      <c r="D75" s="10" t="s">
        <v>94</v>
      </c>
      <c r="E75" s="10" t="s">
        <v>27</v>
      </c>
      <c r="F75" s="10">
        <v>802.0</v>
      </c>
      <c r="G75" s="10">
        <v>7.0</v>
      </c>
      <c r="H75" s="80">
        <v>72.34</v>
      </c>
      <c r="I75" s="80">
        <v>1531.93</v>
      </c>
      <c r="J75" s="80">
        <v>69.18</v>
      </c>
      <c r="K75" s="80">
        <v>2.47</v>
      </c>
      <c r="L75" s="80">
        <v>0.18</v>
      </c>
      <c r="M75" s="80">
        <v>143.61</v>
      </c>
      <c r="N75" s="80">
        <f t="shared" si="2"/>
        <v>212.79</v>
      </c>
      <c r="O75" s="12"/>
      <c r="S75" s="2"/>
      <c r="W75" s="81">
        <v>0.54955</v>
      </c>
      <c r="Y75" s="81">
        <v>1.33776</v>
      </c>
      <c r="Z75" s="81">
        <v>2.13081</v>
      </c>
      <c r="AA75" s="81">
        <v>2.8792</v>
      </c>
      <c r="AB75" s="81">
        <v>3.32666</v>
      </c>
      <c r="AC75" s="81">
        <v>4.40097</v>
      </c>
      <c r="AD75" s="81">
        <v>6.11692</v>
      </c>
      <c r="AE75" s="81">
        <v>9.01971</v>
      </c>
      <c r="AI75" s="11"/>
      <c r="AJ75" s="11"/>
      <c r="AM75" s="2"/>
      <c r="AN75" s="49">
        <v>13.54365</v>
      </c>
      <c r="AO75" s="19">
        <v>16.34629</v>
      </c>
      <c r="AP75" s="19"/>
      <c r="AQ75" s="49">
        <v>18.38987</v>
      </c>
      <c r="AR75" s="19"/>
      <c r="AS75" s="19"/>
      <c r="AT75" s="82"/>
      <c r="AU75" s="19">
        <v>22.66914</v>
      </c>
      <c r="AV75" s="19"/>
      <c r="AW75" s="19">
        <v>31.12802</v>
      </c>
      <c r="AX75" s="19">
        <v>35.17237</v>
      </c>
      <c r="AY75" s="19">
        <v>37.6468</v>
      </c>
      <c r="AZ75" s="2"/>
    </row>
    <row r="76" ht="14.25" customHeight="1">
      <c r="A76" s="26"/>
      <c r="B76" s="10" t="s">
        <v>25</v>
      </c>
      <c r="C76" s="10">
        <v>0.42</v>
      </c>
      <c r="D76" s="10" t="s">
        <v>94</v>
      </c>
      <c r="E76" s="10" t="s">
        <v>27</v>
      </c>
      <c r="F76" s="10">
        <v>803.0</v>
      </c>
      <c r="G76" s="10">
        <v>7.0</v>
      </c>
      <c r="H76" s="80">
        <v>77.4</v>
      </c>
      <c r="I76" s="80">
        <v>1639.16</v>
      </c>
      <c r="J76" s="80">
        <v>74.02</v>
      </c>
      <c r="K76" s="80">
        <v>2.74</v>
      </c>
      <c r="L76" s="80">
        <v>0.19</v>
      </c>
      <c r="M76" s="80">
        <v>151.42</v>
      </c>
      <c r="N76" s="80">
        <f t="shared" si="2"/>
        <v>225.44</v>
      </c>
      <c r="O76" s="12"/>
      <c r="S76" s="2"/>
      <c r="W76" s="81">
        <v>0.6221</v>
      </c>
      <c r="Y76" s="81">
        <v>1.50432</v>
      </c>
      <c r="Z76" s="81">
        <v>1.87922</v>
      </c>
      <c r="AA76" s="81">
        <v>2.30781</v>
      </c>
      <c r="AB76" s="81">
        <v>4.32702</v>
      </c>
      <c r="AC76" s="81">
        <v>6.2813</v>
      </c>
      <c r="AD76" s="81">
        <v>8.62342</v>
      </c>
      <c r="AE76" s="81">
        <v>11.45575</v>
      </c>
      <c r="AI76" s="11"/>
      <c r="AJ76" s="11"/>
      <c r="AM76" s="2"/>
      <c r="AN76" s="19">
        <v>13.3101</v>
      </c>
      <c r="AO76" s="49">
        <v>14.71141</v>
      </c>
      <c r="AP76" s="19"/>
      <c r="AQ76" s="49">
        <v>18.7694</v>
      </c>
      <c r="AR76" s="19"/>
      <c r="AS76" s="19"/>
      <c r="AT76" s="82"/>
      <c r="AU76" s="19">
        <v>28.47197</v>
      </c>
      <c r="AV76" s="19"/>
      <c r="AW76" s="19">
        <v>33.66935</v>
      </c>
      <c r="AX76" s="19">
        <v>38.53066</v>
      </c>
      <c r="AY76" s="19">
        <v>35.71681</v>
      </c>
      <c r="AZ76" s="2"/>
    </row>
    <row r="77" ht="14.25" customHeight="1">
      <c r="A77" s="26"/>
      <c r="B77" s="10" t="s">
        <v>25</v>
      </c>
      <c r="C77" s="10">
        <v>0.42</v>
      </c>
      <c r="D77" s="10" t="s">
        <v>94</v>
      </c>
      <c r="E77" s="10" t="s">
        <v>27</v>
      </c>
      <c r="F77" s="10" t="s">
        <v>273</v>
      </c>
      <c r="G77" s="10">
        <v>7.0</v>
      </c>
      <c r="H77" s="80">
        <v>87.58</v>
      </c>
      <c r="I77" s="80">
        <v>2627.43</v>
      </c>
      <c r="J77" s="80">
        <v>66.77</v>
      </c>
      <c r="K77" s="80">
        <v>3.65</v>
      </c>
      <c r="L77" s="80">
        <v>0.35</v>
      </c>
      <c r="M77" s="80">
        <v>182.15</v>
      </c>
      <c r="N77" s="80">
        <f t="shared" si="2"/>
        <v>248.92</v>
      </c>
      <c r="O77" s="12"/>
      <c r="S77" s="2"/>
      <c r="W77" s="81">
        <v>0.57372</v>
      </c>
      <c r="Y77" s="81">
        <v>1.62317</v>
      </c>
      <c r="Z77" s="81">
        <v>2.78993</v>
      </c>
      <c r="AA77" s="81">
        <v>2.95716</v>
      </c>
      <c r="AB77" s="81">
        <v>4.39474</v>
      </c>
      <c r="AC77" s="81">
        <v>4.6506</v>
      </c>
      <c r="AD77" s="81">
        <v>5.92002</v>
      </c>
      <c r="AE77" s="81">
        <v>8.02216</v>
      </c>
      <c r="AI77" s="11"/>
      <c r="AJ77" s="11"/>
      <c r="AM77" s="2"/>
      <c r="AN77" s="49">
        <v>9.71795</v>
      </c>
      <c r="AO77" s="49">
        <v>14.94344</v>
      </c>
      <c r="AP77" s="19"/>
      <c r="AQ77" s="49">
        <v>19.53766</v>
      </c>
      <c r="AR77" s="19"/>
      <c r="AS77" s="19"/>
      <c r="AT77" s="82"/>
      <c r="AU77" s="19">
        <v>21.74477</v>
      </c>
      <c r="AV77" s="19"/>
      <c r="AW77" s="19">
        <v>30.32445</v>
      </c>
      <c r="AX77" s="19">
        <v>30.24063</v>
      </c>
      <c r="AY77" s="19">
        <v>34.01211</v>
      </c>
      <c r="AZ77" s="2"/>
    </row>
    <row r="78" ht="14.25" customHeight="1">
      <c r="A78" s="26"/>
      <c r="B78" s="10" t="s">
        <v>25</v>
      </c>
      <c r="C78" s="10">
        <v>0.42</v>
      </c>
      <c r="D78" s="10" t="s">
        <v>94</v>
      </c>
      <c r="E78" s="10" t="s">
        <v>27</v>
      </c>
      <c r="F78" s="10" t="s">
        <v>274</v>
      </c>
      <c r="G78" s="10">
        <v>7.0</v>
      </c>
      <c r="H78" s="80">
        <v>79.25</v>
      </c>
      <c r="I78" s="80">
        <v>1967.49</v>
      </c>
      <c r="J78" s="80">
        <v>68.93</v>
      </c>
      <c r="K78" s="80">
        <v>3.65</v>
      </c>
      <c r="L78" s="80">
        <v>0.34</v>
      </c>
      <c r="M78" s="80">
        <v>175.38</v>
      </c>
      <c r="N78" s="80">
        <f t="shared" si="2"/>
        <v>244.31</v>
      </c>
      <c r="O78" s="12"/>
      <c r="S78" s="2"/>
      <c r="W78" s="81">
        <v>0.91892</v>
      </c>
      <c r="Y78" s="81">
        <v>2.14174</v>
      </c>
      <c r="Z78" s="81">
        <v>2.64199</v>
      </c>
      <c r="AA78" s="81">
        <v>3.91772</v>
      </c>
      <c r="AB78" s="81">
        <v>3.85401</v>
      </c>
      <c r="AC78" s="81">
        <v>8.54071</v>
      </c>
      <c r="AD78" s="81">
        <v>9.56064</v>
      </c>
      <c r="AE78" s="81">
        <v>10.55343</v>
      </c>
      <c r="AI78" s="10"/>
      <c r="AJ78" s="10"/>
      <c r="AM78" s="2"/>
      <c r="AN78" s="49">
        <v>9.15683</v>
      </c>
      <c r="AO78" s="49">
        <v>15.08372</v>
      </c>
      <c r="AP78" s="19"/>
      <c r="AQ78" s="49">
        <v>20.06371</v>
      </c>
      <c r="AR78" s="19"/>
      <c r="AS78" s="19"/>
      <c r="AT78" s="82"/>
      <c r="AU78" s="19">
        <v>20.80541</v>
      </c>
      <c r="AV78" s="19"/>
      <c r="AW78" s="19">
        <v>31.45866</v>
      </c>
      <c r="AX78" s="19">
        <v>31.55298</v>
      </c>
      <c r="AY78" s="19">
        <v>37.67827</v>
      </c>
      <c r="AZ78" s="2"/>
    </row>
    <row r="79" ht="13.5" customHeight="1">
      <c r="A79" s="26"/>
      <c r="B79" s="10" t="s">
        <v>25</v>
      </c>
      <c r="C79" s="10">
        <v>0.42</v>
      </c>
      <c r="D79" s="10" t="s">
        <v>94</v>
      </c>
      <c r="E79" s="10" t="s">
        <v>27</v>
      </c>
      <c r="F79" s="10" t="s">
        <v>275</v>
      </c>
      <c r="G79" s="10">
        <v>7.0</v>
      </c>
      <c r="H79" s="80">
        <v>81.8</v>
      </c>
      <c r="I79" s="80">
        <v>2103.38</v>
      </c>
      <c r="J79" s="80">
        <v>67.18</v>
      </c>
      <c r="K79" s="80">
        <v>3.72</v>
      </c>
      <c r="L79" s="80">
        <v>0.38</v>
      </c>
      <c r="M79" s="80">
        <v>172.84</v>
      </c>
      <c r="N79" s="80">
        <f t="shared" si="2"/>
        <v>240.02</v>
      </c>
      <c r="O79" s="12"/>
      <c r="S79" s="2"/>
      <c r="T79" s="11"/>
      <c r="U79" s="11"/>
      <c r="V79" s="11"/>
      <c r="W79" s="81">
        <v>0.87484</v>
      </c>
      <c r="Y79" s="81">
        <v>2.04746</v>
      </c>
      <c r="Z79" s="81">
        <v>2.64078</v>
      </c>
      <c r="AA79" s="81">
        <v>2.97402</v>
      </c>
      <c r="AB79" s="81">
        <v>3.39201</v>
      </c>
      <c r="AC79" s="81">
        <v>6.24935</v>
      </c>
      <c r="AD79" s="81">
        <v>6.84248</v>
      </c>
      <c r="AE79" s="81">
        <v>8.43915</v>
      </c>
      <c r="AF79" s="10"/>
      <c r="AG79" s="10"/>
      <c r="AH79" s="10"/>
      <c r="AI79" s="11"/>
      <c r="AJ79" s="11"/>
      <c r="AK79" s="12"/>
      <c r="AL79" s="12"/>
      <c r="AM79" s="51"/>
      <c r="AN79" s="49">
        <v>11.61175</v>
      </c>
      <c r="AO79" s="49">
        <v>14.38231</v>
      </c>
      <c r="AP79" s="19"/>
      <c r="AQ79" s="49">
        <v>21.5016</v>
      </c>
      <c r="AR79" s="86"/>
      <c r="AS79" s="19"/>
      <c r="AT79" s="82"/>
      <c r="AU79" s="19">
        <v>22.06257</v>
      </c>
      <c r="AV79" s="19"/>
      <c r="AW79" s="19">
        <v>32.7869</v>
      </c>
      <c r="AX79" s="19">
        <v>31.61969</v>
      </c>
      <c r="AY79" s="19">
        <v>37.77478</v>
      </c>
      <c r="AZ79" s="2"/>
    </row>
    <row r="80" ht="13.5" customHeight="1">
      <c r="A80" s="33"/>
      <c r="B80" s="34" t="s">
        <v>25</v>
      </c>
      <c r="C80" s="34">
        <v>0.42</v>
      </c>
      <c r="D80" s="34" t="s">
        <v>94</v>
      </c>
      <c r="E80" s="34" t="s">
        <v>27</v>
      </c>
      <c r="F80" s="87" t="s">
        <v>276</v>
      </c>
      <c r="G80" s="34">
        <v>7.0</v>
      </c>
      <c r="H80" s="88">
        <v>65.62</v>
      </c>
      <c r="I80" s="88">
        <v>1682.56</v>
      </c>
      <c r="J80" s="88">
        <v>65.02</v>
      </c>
      <c r="K80" s="88">
        <v>3.63</v>
      </c>
      <c r="L80" s="88">
        <v>0.36</v>
      </c>
      <c r="M80" s="88">
        <v>170.36</v>
      </c>
      <c r="N80" s="80">
        <f t="shared" si="2"/>
        <v>235.38</v>
      </c>
      <c r="O80" s="36"/>
      <c r="P80" s="89"/>
      <c r="Q80" s="89"/>
      <c r="R80" s="89"/>
      <c r="S80" s="90"/>
      <c r="T80" s="89"/>
      <c r="U80" s="89"/>
      <c r="V80" s="89"/>
      <c r="W80" s="44">
        <v>1.19028</v>
      </c>
      <c r="X80" s="44"/>
      <c r="Y80" s="44">
        <v>1.20096</v>
      </c>
      <c r="Z80" s="44">
        <v>2.47923</v>
      </c>
      <c r="AA80" s="44">
        <v>2.92438</v>
      </c>
      <c r="AB80" s="44">
        <v>3.10512</v>
      </c>
      <c r="AC80" s="44" t="s">
        <v>50</v>
      </c>
      <c r="AD80" s="44">
        <v>5.56724</v>
      </c>
      <c r="AE80" s="44">
        <v>8.52506</v>
      </c>
      <c r="AF80" s="89"/>
      <c r="AG80" s="89"/>
      <c r="AH80" s="89"/>
      <c r="AI80" s="89"/>
      <c r="AJ80" s="89"/>
      <c r="AK80" s="89"/>
      <c r="AL80" s="89"/>
      <c r="AM80" s="90"/>
      <c r="AN80" s="52">
        <v>11.61175</v>
      </c>
      <c r="AO80" s="52">
        <v>14.55766</v>
      </c>
      <c r="AP80" s="42"/>
      <c r="AQ80" s="52">
        <v>21.36132</v>
      </c>
      <c r="AR80" s="52"/>
      <c r="AS80" s="52"/>
      <c r="AT80" s="91"/>
      <c r="AU80" s="42">
        <v>22.98209</v>
      </c>
      <c r="AV80" s="42"/>
      <c r="AW80" s="42">
        <v>30.89277</v>
      </c>
      <c r="AX80" s="42">
        <v>33.36048</v>
      </c>
      <c r="AY80" s="42">
        <v>34.28165</v>
      </c>
      <c r="AZ80" s="46"/>
    </row>
    <row r="81" ht="14.25" customHeight="1">
      <c r="A81" s="92" t="s">
        <v>277</v>
      </c>
      <c r="B81" s="10" t="s">
        <v>25</v>
      </c>
      <c r="C81" s="10" t="s">
        <v>50</v>
      </c>
      <c r="D81" s="10" t="s">
        <v>94</v>
      </c>
      <c r="E81" s="10" t="s">
        <v>27</v>
      </c>
      <c r="F81" s="12" t="s">
        <v>278</v>
      </c>
      <c r="G81" s="93">
        <v>5.0</v>
      </c>
      <c r="H81" s="94">
        <v>38.0</v>
      </c>
      <c r="I81" s="94">
        <v>1008.77</v>
      </c>
      <c r="J81" s="94">
        <v>29.4</v>
      </c>
      <c r="K81" s="94">
        <v>5.17</v>
      </c>
      <c r="L81" s="94">
        <v>0.59</v>
      </c>
      <c r="M81" s="94">
        <v>201.15</v>
      </c>
      <c r="N81" s="80">
        <f t="shared" si="2"/>
        <v>230.55</v>
      </c>
      <c r="O81" s="10"/>
      <c r="P81" s="10"/>
      <c r="Q81" s="10"/>
      <c r="R81" s="10"/>
      <c r="S81" s="67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2"/>
      <c r="AL81" s="10"/>
      <c r="AM81" s="67"/>
      <c r="AN81" s="10"/>
      <c r="AO81" s="10"/>
      <c r="AP81" s="10"/>
      <c r="AQ81" s="10"/>
      <c r="AR81" s="10"/>
      <c r="AS81" s="10"/>
      <c r="AT81" s="67"/>
      <c r="AU81" s="81">
        <v>35.68906</v>
      </c>
      <c r="AW81" s="81">
        <v>46.6303</v>
      </c>
      <c r="AX81" s="81">
        <v>53.01862</v>
      </c>
      <c r="AY81" s="81">
        <v>58.78183</v>
      </c>
      <c r="AZ81" s="2"/>
    </row>
    <row r="82" ht="14.25" customHeight="1">
      <c r="A82" s="26"/>
      <c r="B82" s="10" t="s">
        <v>25</v>
      </c>
      <c r="C82" s="10" t="s">
        <v>50</v>
      </c>
      <c r="D82" s="10" t="s">
        <v>94</v>
      </c>
      <c r="E82" s="10" t="s">
        <v>27</v>
      </c>
      <c r="F82" s="12">
        <v>80.0</v>
      </c>
      <c r="G82" s="93">
        <v>5.0</v>
      </c>
      <c r="H82" s="94">
        <v>40.37</v>
      </c>
      <c r="I82" s="94">
        <v>1058.99</v>
      </c>
      <c r="J82" s="94">
        <v>29.7</v>
      </c>
      <c r="K82" s="94">
        <v>5.22</v>
      </c>
      <c r="L82" s="94">
        <v>0.59</v>
      </c>
      <c r="M82" s="94">
        <v>196.57</v>
      </c>
      <c r="N82" s="80">
        <f t="shared" si="2"/>
        <v>226.27</v>
      </c>
      <c r="S82" s="2"/>
      <c r="AA82" s="10"/>
      <c r="AB82" s="10"/>
      <c r="AC82" s="10"/>
      <c r="AD82" s="10"/>
      <c r="AE82" s="10"/>
      <c r="AF82" s="10"/>
      <c r="AG82" s="10"/>
      <c r="AH82" s="10"/>
      <c r="AI82" s="12"/>
      <c r="AJ82" s="10"/>
      <c r="AK82" s="12"/>
      <c r="AL82" s="10"/>
      <c r="AM82" s="2"/>
      <c r="AT82" s="2"/>
      <c r="AU82" s="81">
        <v>31.92068</v>
      </c>
      <c r="AW82" s="81">
        <v>49.50395</v>
      </c>
      <c r="AX82" s="81">
        <v>53.89268</v>
      </c>
      <c r="AY82" s="81">
        <v>60.35528</v>
      </c>
      <c r="AZ82" s="2"/>
    </row>
    <row r="83" ht="14.25" customHeight="1">
      <c r="A83" s="26"/>
      <c r="B83" s="10" t="s">
        <v>25</v>
      </c>
      <c r="C83" s="10" t="s">
        <v>50</v>
      </c>
      <c r="D83" s="10" t="s">
        <v>94</v>
      </c>
      <c r="E83" s="10" t="s">
        <v>27</v>
      </c>
      <c r="F83" s="12" t="s">
        <v>278</v>
      </c>
      <c r="G83" s="93">
        <v>7.0</v>
      </c>
      <c r="H83" s="94">
        <v>45.43</v>
      </c>
      <c r="I83" s="94">
        <v>1023.56</v>
      </c>
      <c r="J83" s="94">
        <v>46.0</v>
      </c>
      <c r="K83" s="94">
        <v>4.21</v>
      </c>
      <c r="L83" s="94">
        <v>0.45</v>
      </c>
      <c r="M83" s="94">
        <v>179.44</v>
      </c>
      <c r="N83" s="80">
        <f t="shared" si="2"/>
        <v>225.44</v>
      </c>
      <c r="S83" s="2"/>
      <c r="AA83" s="10"/>
      <c r="AB83" s="10"/>
      <c r="AC83" s="10"/>
      <c r="AD83" s="10"/>
      <c r="AE83" s="10"/>
      <c r="AF83" s="10"/>
      <c r="AG83" s="10"/>
      <c r="AH83" s="10"/>
      <c r="AI83" s="12"/>
      <c r="AJ83" s="10"/>
      <c r="AK83" s="12"/>
      <c r="AL83" s="10"/>
      <c r="AM83" s="2"/>
      <c r="AT83" s="2"/>
      <c r="AZ83" s="2"/>
    </row>
    <row r="84" ht="14.25" customHeight="1">
      <c r="A84" s="26"/>
      <c r="B84" s="10" t="s">
        <v>25</v>
      </c>
      <c r="C84" s="10" t="s">
        <v>50</v>
      </c>
      <c r="D84" s="10" t="s">
        <v>94</v>
      </c>
      <c r="E84" s="10" t="s">
        <v>27</v>
      </c>
      <c r="F84" s="12">
        <v>80.0</v>
      </c>
      <c r="G84" s="93">
        <v>7.0</v>
      </c>
      <c r="H84" s="94">
        <v>44.5</v>
      </c>
      <c r="I84" s="94">
        <v>1000.29</v>
      </c>
      <c r="J84" s="94">
        <v>43.9</v>
      </c>
      <c r="K84" s="94">
        <v>4.3</v>
      </c>
      <c r="L84" s="94">
        <v>0.47</v>
      </c>
      <c r="M84" s="94">
        <v>183.75</v>
      </c>
      <c r="N84" s="80">
        <f t="shared" si="2"/>
        <v>227.65</v>
      </c>
      <c r="S84" s="2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2"/>
      <c r="AL84" s="10"/>
      <c r="AM84" s="2"/>
      <c r="AT84" s="2"/>
      <c r="AU84" s="81">
        <v>32.18728</v>
      </c>
      <c r="AW84" s="81">
        <v>46.81388</v>
      </c>
      <c r="AX84" s="81">
        <v>52.75757</v>
      </c>
      <c r="AY84" s="81">
        <v>56.51408</v>
      </c>
      <c r="AZ84" s="2"/>
    </row>
    <row r="85" ht="14.25" customHeight="1">
      <c r="A85" s="26"/>
      <c r="B85" s="10" t="s">
        <v>25</v>
      </c>
      <c r="C85" s="10" t="s">
        <v>50</v>
      </c>
      <c r="D85" s="10" t="s">
        <v>94</v>
      </c>
      <c r="E85" s="10" t="s">
        <v>27</v>
      </c>
      <c r="F85" s="12" t="s">
        <v>279</v>
      </c>
      <c r="G85" s="93">
        <v>5.0</v>
      </c>
      <c r="H85" s="95">
        <v>66.69</v>
      </c>
      <c r="I85" s="95">
        <v>2235.69</v>
      </c>
      <c r="J85" s="95">
        <v>42.55</v>
      </c>
      <c r="K85" s="95">
        <v>4.13</v>
      </c>
      <c r="L85" s="95">
        <v>0.46</v>
      </c>
      <c r="M85" s="95">
        <v>162.03</v>
      </c>
      <c r="N85" s="80">
        <f t="shared" si="2"/>
        <v>204.58</v>
      </c>
      <c r="S85" s="2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L85" s="10"/>
      <c r="AM85" s="2"/>
      <c r="AT85" s="2"/>
      <c r="AU85" s="81">
        <v>25.46641</v>
      </c>
      <c r="AW85" s="81">
        <v>45.29794</v>
      </c>
      <c r="AX85" s="81">
        <v>52.55266</v>
      </c>
      <c r="AY85" s="81">
        <v>60.73035</v>
      </c>
      <c r="AZ85" s="2"/>
    </row>
    <row r="86" ht="14.25" customHeight="1">
      <c r="A86" s="26"/>
      <c r="B86" s="10" t="s">
        <v>25</v>
      </c>
      <c r="C86" s="10" t="s">
        <v>50</v>
      </c>
      <c r="D86" s="10" t="s">
        <v>94</v>
      </c>
      <c r="E86" s="10" t="s">
        <v>27</v>
      </c>
      <c r="F86" s="12">
        <v>63.0</v>
      </c>
      <c r="G86" s="93">
        <v>5.0</v>
      </c>
      <c r="H86" s="95">
        <v>64.37</v>
      </c>
      <c r="I86" s="95">
        <v>2242.27</v>
      </c>
      <c r="J86" s="95">
        <v>40.57</v>
      </c>
      <c r="K86" s="95">
        <v>3.92</v>
      </c>
      <c r="L86" s="95">
        <v>0.41</v>
      </c>
      <c r="M86" s="95">
        <v>168.4</v>
      </c>
      <c r="N86" s="80">
        <f t="shared" si="2"/>
        <v>208.97</v>
      </c>
      <c r="S86" s="2"/>
      <c r="AA86" s="96"/>
      <c r="AB86" s="96"/>
      <c r="AC86" s="96"/>
      <c r="AD86" s="96"/>
      <c r="AE86" s="10"/>
      <c r="AF86" s="10"/>
      <c r="AG86" s="10"/>
      <c r="AH86" s="10"/>
      <c r="AI86" s="10"/>
      <c r="AJ86" s="10"/>
      <c r="AL86" s="10"/>
      <c r="AM86" s="2"/>
      <c r="AT86" s="2"/>
      <c r="AU86" s="81">
        <v>24.93445</v>
      </c>
      <c r="AW86" s="81">
        <v>45.74859</v>
      </c>
      <c r="AX86" s="81">
        <v>54.23281</v>
      </c>
      <c r="AY86" s="81">
        <v>63.00282</v>
      </c>
      <c r="AZ86" s="2"/>
    </row>
    <row r="87" ht="14.25" customHeight="1">
      <c r="A87" s="26"/>
      <c r="B87" s="10" t="s">
        <v>25</v>
      </c>
      <c r="C87" s="10" t="s">
        <v>50</v>
      </c>
      <c r="D87" s="10" t="s">
        <v>94</v>
      </c>
      <c r="E87" s="10" t="s">
        <v>27</v>
      </c>
      <c r="F87" s="12" t="s">
        <v>279</v>
      </c>
      <c r="G87" s="93">
        <v>7.0</v>
      </c>
      <c r="H87" s="95">
        <v>84.27</v>
      </c>
      <c r="I87" s="95">
        <v>2462.57</v>
      </c>
      <c r="J87" s="95">
        <v>58.05</v>
      </c>
      <c r="K87" s="95">
        <v>3.55</v>
      </c>
      <c r="L87" s="95">
        <v>0.4</v>
      </c>
      <c r="M87" s="95">
        <v>159.21</v>
      </c>
      <c r="N87" s="80">
        <f t="shared" si="2"/>
        <v>217.26</v>
      </c>
      <c r="S87" s="2"/>
      <c r="AA87" s="97"/>
      <c r="AB87" s="97"/>
      <c r="AC87" s="97"/>
      <c r="AD87" s="97"/>
      <c r="AE87" s="10"/>
      <c r="AF87" s="10"/>
      <c r="AG87" s="10"/>
      <c r="AH87" s="10"/>
      <c r="AI87" s="10"/>
      <c r="AJ87" s="10"/>
      <c r="AL87" s="10"/>
      <c r="AM87" s="2"/>
      <c r="AT87" s="2"/>
      <c r="AZ87" s="2"/>
    </row>
    <row r="88" ht="14.25" customHeight="1">
      <c r="A88" s="33"/>
      <c r="B88" s="34" t="s">
        <v>25</v>
      </c>
      <c r="C88" s="34" t="s">
        <v>50</v>
      </c>
      <c r="D88" s="34" t="s">
        <v>94</v>
      </c>
      <c r="E88" s="34" t="s">
        <v>27</v>
      </c>
      <c r="F88" s="36">
        <v>63.0</v>
      </c>
      <c r="G88" s="98">
        <v>7.0</v>
      </c>
      <c r="H88" s="99">
        <v>88.7</v>
      </c>
      <c r="I88" s="99">
        <v>2877.16</v>
      </c>
      <c r="J88" s="99">
        <v>59.0</v>
      </c>
      <c r="K88" s="99">
        <v>3.58</v>
      </c>
      <c r="L88" s="99">
        <v>0.41</v>
      </c>
      <c r="M88" s="99">
        <v>153.5</v>
      </c>
      <c r="N88" s="80">
        <f t="shared" si="2"/>
        <v>212.5</v>
      </c>
      <c r="O88" s="44"/>
      <c r="P88" s="44"/>
      <c r="Q88" s="44"/>
      <c r="R88" s="44"/>
      <c r="S88" s="46"/>
      <c r="T88" s="44"/>
      <c r="U88" s="44"/>
      <c r="V88" s="44"/>
      <c r="W88" s="44"/>
      <c r="X88" s="44"/>
      <c r="Y88" s="44"/>
      <c r="Z88" s="44"/>
      <c r="AA88" s="100"/>
      <c r="AB88" s="100"/>
      <c r="AC88" s="100"/>
      <c r="AD88" s="100"/>
      <c r="AE88" s="34"/>
      <c r="AF88" s="34"/>
      <c r="AG88" s="34"/>
      <c r="AH88" s="34"/>
      <c r="AI88" s="34"/>
      <c r="AJ88" s="34"/>
      <c r="AK88" s="44"/>
      <c r="AL88" s="34"/>
      <c r="AM88" s="101"/>
      <c r="AN88" s="102"/>
      <c r="AO88" s="44"/>
      <c r="AP88" s="44"/>
      <c r="AQ88" s="44"/>
      <c r="AR88" s="44"/>
      <c r="AS88" s="44"/>
      <c r="AT88" s="46"/>
      <c r="AU88" s="44"/>
      <c r="AV88" s="44"/>
      <c r="AW88" s="44"/>
      <c r="AX88" s="44"/>
      <c r="AY88" s="44"/>
      <c r="AZ88" s="46"/>
    </row>
    <row r="89" ht="14.25" customHeight="1">
      <c r="A89" s="103" t="s">
        <v>280</v>
      </c>
      <c r="B89" s="10" t="s">
        <v>269</v>
      </c>
      <c r="C89" s="10" t="s">
        <v>50</v>
      </c>
      <c r="D89" s="10" t="s">
        <v>94</v>
      </c>
      <c r="E89" s="10" t="s">
        <v>27</v>
      </c>
      <c r="F89" s="85" t="s">
        <v>281</v>
      </c>
      <c r="G89" s="10" t="s">
        <v>50</v>
      </c>
      <c r="H89" s="94">
        <v>79.18</v>
      </c>
      <c r="I89" s="94">
        <v>2174.88</v>
      </c>
      <c r="J89" s="94">
        <v>50.47</v>
      </c>
      <c r="K89" s="94">
        <v>4.3</v>
      </c>
      <c r="L89" s="94">
        <v>0.44</v>
      </c>
      <c r="M89" s="94">
        <v>205.77</v>
      </c>
      <c r="N89" s="94">
        <v>263.25</v>
      </c>
      <c r="S89" s="2"/>
      <c r="AA89" s="97"/>
      <c r="AB89" s="97"/>
      <c r="AC89" s="97"/>
      <c r="AD89" s="97"/>
      <c r="AE89" s="10"/>
      <c r="AF89" s="10"/>
      <c r="AG89" s="10"/>
      <c r="AH89" s="10"/>
      <c r="AI89" s="12"/>
      <c r="AJ89" s="12"/>
      <c r="AK89" s="12"/>
      <c r="AL89" s="10"/>
      <c r="AM89" s="104"/>
      <c r="AN89" s="96"/>
      <c r="AO89" s="96"/>
      <c r="AT89" s="105"/>
      <c r="AU89" s="81">
        <v>34.00109</v>
      </c>
      <c r="AW89" s="81">
        <v>42.60719</v>
      </c>
      <c r="AX89" s="81">
        <v>47.62935</v>
      </c>
      <c r="AY89" s="81">
        <v>52.58434</v>
      </c>
      <c r="AZ89" s="2"/>
    </row>
    <row r="90" ht="14.25" customHeight="1">
      <c r="A90" s="26"/>
      <c r="B90" s="10" t="s">
        <v>269</v>
      </c>
      <c r="C90" s="10" t="s">
        <v>50</v>
      </c>
      <c r="D90" s="10" t="s">
        <v>94</v>
      </c>
      <c r="E90" s="10" t="s">
        <v>27</v>
      </c>
      <c r="F90" s="85" t="s">
        <v>282</v>
      </c>
      <c r="G90" s="10" t="s">
        <v>50</v>
      </c>
      <c r="H90" s="94">
        <v>78.47</v>
      </c>
      <c r="I90" s="94">
        <v>1996.85</v>
      </c>
      <c r="J90" s="94">
        <v>50.93</v>
      </c>
      <c r="K90" s="94">
        <v>3.87</v>
      </c>
      <c r="L90" s="94">
        <v>0.35</v>
      </c>
      <c r="M90" s="94">
        <v>188.55</v>
      </c>
      <c r="N90" s="94">
        <v>254.59</v>
      </c>
      <c r="S90" s="2"/>
      <c r="AA90" s="10"/>
      <c r="AB90" s="10"/>
      <c r="AC90" s="10"/>
      <c r="AD90" s="10"/>
      <c r="AE90" s="10"/>
      <c r="AF90" s="10"/>
      <c r="AG90" s="10"/>
      <c r="AH90" s="10"/>
      <c r="AI90" s="10"/>
      <c r="AJ90" s="12"/>
      <c r="AK90" s="12"/>
      <c r="AL90" s="10"/>
      <c r="AM90" s="106"/>
      <c r="AN90" s="97"/>
      <c r="AO90" s="97"/>
      <c r="AT90" s="107"/>
      <c r="AU90" s="81">
        <v>33.29125</v>
      </c>
      <c r="AW90" s="81">
        <v>43.25128</v>
      </c>
      <c r="AX90" s="81">
        <v>48.14997</v>
      </c>
      <c r="AY90" s="81">
        <v>51.78428</v>
      </c>
      <c r="AZ90" s="2"/>
    </row>
    <row r="91" ht="14.25" customHeight="1">
      <c r="A91" s="26"/>
      <c r="B91" s="10" t="s">
        <v>269</v>
      </c>
      <c r="C91" s="10" t="s">
        <v>50</v>
      </c>
      <c r="D91" s="10" t="s">
        <v>94</v>
      </c>
      <c r="E91" s="10" t="s">
        <v>27</v>
      </c>
      <c r="F91" s="85" t="s">
        <v>283</v>
      </c>
      <c r="G91" s="10" t="s">
        <v>50</v>
      </c>
      <c r="H91" s="94">
        <v>80.02</v>
      </c>
      <c r="I91" s="94">
        <v>2228.62</v>
      </c>
      <c r="J91" s="94">
        <v>47.58</v>
      </c>
      <c r="K91" s="94">
        <v>4.19</v>
      </c>
      <c r="L91" s="94">
        <v>0.35</v>
      </c>
      <c r="M91" s="94">
        <v>187.84</v>
      </c>
      <c r="N91" s="94">
        <v>274.96</v>
      </c>
      <c r="S91" s="2"/>
      <c r="AA91" s="10"/>
      <c r="AB91" s="10"/>
      <c r="AC91" s="10"/>
      <c r="AD91" s="10"/>
      <c r="AE91" s="10"/>
      <c r="AF91" s="10"/>
      <c r="AG91" s="10"/>
      <c r="AH91" s="10"/>
      <c r="AI91" s="12"/>
      <c r="AJ91" s="10"/>
      <c r="AK91" s="12"/>
      <c r="AL91" s="10"/>
      <c r="AM91" s="106"/>
      <c r="AN91" s="97"/>
      <c r="AO91" s="97"/>
      <c r="AT91" s="107"/>
      <c r="AU91" s="81">
        <v>30.94398</v>
      </c>
      <c r="AW91" s="81">
        <v>42.38204</v>
      </c>
      <c r="AX91" s="81">
        <v>46.27918</v>
      </c>
      <c r="AY91" s="81">
        <v>50.94036</v>
      </c>
      <c r="AZ91" s="2"/>
    </row>
    <row r="92" ht="14.25" customHeight="1">
      <c r="A92" s="26"/>
      <c r="B92" s="10" t="s">
        <v>269</v>
      </c>
      <c r="C92" s="10" t="s">
        <v>50</v>
      </c>
      <c r="D92" s="10" t="s">
        <v>94</v>
      </c>
      <c r="E92" s="10" t="s">
        <v>27</v>
      </c>
      <c r="F92" s="85" t="s">
        <v>273</v>
      </c>
      <c r="G92" s="10" t="s">
        <v>50</v>
      </c>
      <c r="H92" s="94">
        <v>86.0</v>
      </c>
      <c r="I92" s="94">
        <v>2756.4</v>
      </c>
      <c r="J92" s="94">
        <v>47.38</v>
      </c>
      <c r="K92" s="94">
        <v>2.02</v>
      </c>
      <c r="L92" s="94">
        <v>0.25</v>
      </c>
      <c r="M92" s="94">
        <v>86.18</v>
      </c>
      <c r="N92" s="94">
        <v>200.08</v>
      </c>
      <c r="S92" s="2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L92" s="10"/>
      <c r="AM92" s="106"/>
      <c r="AN92" s="97"/>
      <c r="AO92" s="97"/>
      <c r="AT92" s="106"/>
      <c r="AU92" s="81">
        <v>24.22847</v>
      </c>
      <c r="AW92" s="81">
        <v>36.96479</v>
      </c>
      <c r="AX92" s="81">
        <v>42.09434</v>
      </c>
      <c r="AY92" s="81">
        <v>48.0285</v>
      </c>
      <c r="AZ92" s="2"/>
    </row>
    <row r="93" ht="14.25" customHeight="1">
      <c r="A93" s="26"/>
      <c r="B93" s="10" t="s">
        <v>269</v>
      </c>
      <c r="C93" s="10" t="s">
        <v>50</v>
      </c>
      <c r="D93" s="10" t="s">
        <v>94</v>
      </c>
      <c r="E93" s="10" t="s">
        <v>27</v>
      </c>
      <c r="F93" s="85" t="s">
        <v>274</v>
      </c>
      <c r="G93" s="10" t="s">
        <v>50</v>
      </c>
      <c r="H93" s="94">
        <v>72.0</v>
      </c>
      <c r="I93" s="94">
        <v>2479.8</v>
      </c>
      <c r="J93" s="94">
        <v>42.58</v>
      </c>
      <c r="K93" s="94">
        <v>4.17</v>
      </c>
      <c r="L93" s="94">
        <v>0.61</v>
      </c>
      <c r="M93" s="94">
        <v>196.89</v>
      </c>
      <c r="N93" s="94">
        <v>162.65</v>
      </c>
      <c r="S93" s="2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L93" s="10"/>
      <c r="AM93" s="108"/>
      <c r="AN93" s="109"/>
      <c r="AT93" s="2"/>
      <c r="AU93" s="81">
        <v>27.77908</v>
      </c>
      <c r="AW93" s="81">
        <v>37.02127</v>
      </c>
      <c r="AX93" s="81">
        <v>40.92855</v>
      </c>
      <c r="AY93" s="81">
        <v>44.48185</v>
      </c>
      <c r="AZ93" s="2"/>
    </row>
    <row r="94" ht="14.25" customHeight="1">
      <c r="A94" s="26"/>
      <c r="B94" s="10" t="s">
        <v>269</v>
      </c>
      <c r="C94" s="10" t="s">
        <v>50</v>
      </c>
      <c r="D94" s="10" t="s">
        <v>94</v>
      </c>
      <c r="E94" s="10" t="s">
        <v>27</v>
      </c>
      <c r="F94" s="85" t="s">
        <v>275</v>
      </c>
      <c r="G94" s="10" t="s">
        <v>50</v>
      </c>
      <c r="H94" s="94">
        <v>68.6</v>
      </c>
      <c r="I94" s="94">
        <v>2180.3</v>
      </c>
      <c r="J94" s="94">
        <v>41.04</v>
      </c>
      <c r="K94" s="94">
        <v>5.35</v>
      </c>
      <c r="L94" s="94">
        <v>0.94</v>
      </c>
      <c r="M94" s="94">
        <v>214.2</v>
      </c>
      <c r="N94" s="94">
        <v>269.65</v>
      </c>
      <c r="S94" s="2"/>
      <c r="AA94" s="96"/>
      <c r="AB94" s="96"/>
      <c r="AC94" s="10"/>
      <c r="AD94" s="10"/>
      <c r="AE94" s="10"/>
      <c r="AF94" s="10"/>
      <c r="AG94" s="10"/>
      <c r="AH94" s="10"/>
      <c r="AI94" s="10"/>
      <c r="AJ94" s="10"/>
      <c r="AL94" s="10"/>
      <c r="AM94" s="108"/>
      <c r="AN94" s="109"/>
      <c r="AO94" s="109"/>
      <c r="AT94" s="2"/>
      <c r="AU94" s="81">
        <v>27.47743</v>
      </c>
      <c r="AW94" s="81">
        <v>37.022</v>
      </c>
      <c r="AX94" s="81">
        <v>42.43786</v>
      </c>
      <c r="AY94" s="81">
        <v>47.7936</v>
      </c>
      <c r="AZ94" s="2"/>
    </row>
    <row r="95" ht="14.25" customHeight="1">
      <c r="A95" s="33"/>
      <c r="B95" s="110" t="s">
        <v>269</v>
      </c>
      <c r="C95" s="34" t="s">
        <v>50</v>
      </c>
      <c r="D95" s="34" t="s">
        <v>94</v>
      </c>
      <c r="E95" s="34" t="s">
        <v>27</v>
      </c>
      <c r="F95" s="87" t="s">
        <v>276</v>
      </c>
      <c r="G95" s="34" t="s">
        <v>50</v>
      </c>
      <c r="H95" s="111">
        <v>84.5</v>
      </c>
      <c r="I95" s="111">
        <v>2884.8</v>
      </c>
      <c r="J95" s="111">
        <v>51.91</v>
      </c>
      <c r="K95" s="111">
        <v>2.54</v>
      </c>
      <c r="L95" s="111">
        <v>0.27</v>
      </c>
      <c r="M95" s="111">
        <v>126.93</v>
      </c>
      <c r="N95" s="111">
        <v>270.71</v>
      </c>
      <c r="O95" s="44"/>
      <c r="P95" s="44"/>
      <c r="Q95" s="44"/>
      <c r="R95" s="44"/>
      <c r="S95" s="46"/>
      <c r="T95" s="44"/>
      <c r="U95" s="44"/>
      <c r="V95" s="44"/>
      <c r="W95" s="44"/>
      <c r="X95" s="44"/>
      <c r="Y95" s="44"/>
      <c r="Z95" s="44"/>
      <c r="AA95" s="100"/>
      <c r="AB95" s="100"/>
      <c r="AC95" s="34"/>
      <c r="AD95" s="34"/>
      <c r="AE95" s="34"/>
      <c r="AF95" s="34"/>
      <c r="AG95" s="34"/>
      <c r="AH95" s="34"/>
      <c r="AI95" s="34"/>
      <c r="AJ95" s="34"/>
      <c r="AK95" s="44"/>
      <c r="AL95" s="34"/>
      <c r="AM95" s="46"/>
      <c r="AN95" s="44"/>
      <c r="AO95" s="44"/>
      <c r="AP95" s="44"/>
      <c r="AQ95" s="44"/>
      <c r="AR95" s="44"/>
      <c r="AS95" s="44"/>
      <c r="AT95" s="46"/>
      <c r="AU95" s="44">
        <v>23.6362</v>
      </c>
      <c r="AV95" s="44"/>
      <c r="AW95" s="44">
        <v>35.58405</v>
      </c>
      <c r="AX95" s="44">
        <v>42.99954</v>
      </c>
      <c r="AY95" s="44">
        <v>42.45991</v>
      </c>
      <c r="AZ95" s="46"/>
    </row>
    <row r="96" ht="14.25" customHeight="1">
      <c r="A96" s="92" t="s">
        <v>284</v>
      </c>
      <c r="B96" s="10" t="s">
        <v>269</v>
      </c>
      <c r="C96" s="10">
        <v>0.42</v>
      </c>
      <c r="D96" s="10" t="s">
        <v>94</v>
      </c>
      <c r="E96" s="10" t="s">
        <v>27</v>
      </c>
      <c r="F96" s="12" t="s">
        <v>285</v>
      </c>
      <c r="G96" s="12">
        <v>5.0</v>
      </c>
      <c r="H96" s="95">
        <v>74.4</v>
      </c>
      <c r="I96" s="95">
        <v>2502.01</v>
      </c>
      <c r="J96" s="95">
        <v>37.94</v>
      </c>
      <c r="K96" s="95">
        <v>4.15</v>
      </c>
      <c r="L96" s="95">
        <v>0.42</v>
      </c>
      <c r="M96" s="95">
        <v>247.96</v>
      </c>
      <c r="N96" s="112">
        <f t="shared" ref="N96:N101" si="3">M96+J96</f>
        <v>285.9</v>
      </c>
      <c r="S96" s="2"/>
      <c r="T96" s="97"/>
      <c r="U96" s="28"/>
      <c r="Y96" s="97"/>
      <c r="Z96" s="97"/>
      <c r="AA96" s="97"/>
      <c r="AB96" s="97"/>
      <c r="AC96" s="10"/>
      <c r="AD96" s="10"/>
      <c r="AE96" s="10"/>
      <c r="AF96" s="10"/>
      <c r="AG96" s="10"/>
      <c r="AH96" s="10"/>
      <c r="AI96" s="10"/>
      <c r="AJ96" s="10"/>
      <c r="AM96" s="2"/>
      <c r="AT96" s="2"/>
      <c r="AU96" s="12">
        <v>25.33</v>
      </c>
      <c r="AW96" s="12">
        <v>36.19</v>
      </c>
      <c r="AX96" s="12">
        <v>39.18</v>
      </c>
      <c r="AY96" s="12">
        <v>38.6</v>
      </c>
      <c r="AZ96" s="51" t="s">
        <v>50</v>
      </c>
    </row>
    <row r="97" ht="12.75" customHeight="1">
      <c r="A97" s="26"/>
      <c r="B97" s="10" t="s">
        <v>269</v>
      </c>
      <c r="C97" s="10">
        <v>0.42</v>
      </c>
      <c r="D97" s="10" t="s">
        <v>94</v>
      </c>
      <c r="E97" s="10" t="s">
        <v>27</v>
      </c>
      <c r="F97" s="12" t="s">
        <v>286</v>
      </c>
      <c r="G97" s="12">
        <v>5.0</v>
      </c>
      <c r="H97" s="95">
        <v>75.17</v>
      </c>
      <c r="I97" s="95">
        <v>2528.14</v>
      </c>
      <c r="J97" s="95">
        <v>38.38</v>
      </c>
      <c r="K97" s="95">
        <v>4.19</v>
      </c>
      <c r="L97" s="95">
        <v>0.43</v>
      </c>
      <c r="M97" s="95">
        <v>250.2</v>
      </c>
      <c r="N97" s="112">
        <f t="shared" si="3"/>
        <v>288.58</v>
      </c>
      <c r="O97" s="28"/>
      <c r="P97" s="28"/>
      <c r="Q97" s="28"/>
      <c r="R97" s="28"/>
      <c r="S97" s="66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12">
        <v>27.18</v>
      </c>
      <c r="AW97" s="12">
        <v>41.61</v>
      </c>
      <c r="AX97" s="12">
        <v>48.81</v>
      </c>
      <c r="AY97" s="12">
        <v>52.41</v>
      </c>
      <c r="AZ97" s="51" t="s">
        <v>50</v>
      </c>
    </row>
    <row r="98" ht="13.5" customHeight="1">
      <c r="A98" s="26"/>
      <c r="B98" s="10" t="s">
        <v>269</v>
      </c>
      <c r="C98" s="10">
        <v>0.42</v>
      </c>
      <c r="D98" s="10" t="s">
        <v>94</v>
      </c>
      <c r="E98" s="10" t="s">
        <v>27</v>
      </c>
      <c r="F98" s="12" t="s">
        <v>287</v>
      </c>
      <c r="G98" s="12">
        <v>5.0</v>
      </c>
      <c r="H98" s="95">
        <v>70.24</v>
      </c>
      <c r="I98" s="95">
        <v>2540.15</v>
      </c>
      <c r="J98" s="95">
        <v>31.8</v>
      </c>
      <c r="K98" s="95">
        <v>4.18</v>
      </c>
      <c r="L98" s="95">
        <v>0.41</v>
      </c>
      <c r="M98" s="95">
        <v>248.73</v>
      </c>
      <c r="N98" s="112">
        <f t="shared" si="3"/>
        <v>280.53</v>
      </c>
      <c r="O98" s="10"/>
      <c r="P98" s="10"/>
      <c r="Q98" s="10"/>
      <c r="R98" s="10"/>
      <c r="S98" s="67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2"/>
      <c r="AL98" s="10"/>
      <c r="AM98" s="10"/>
      <c r="AN98" s="10"/>
      <c r="AO98" s="10"/>
      <c r="AP98" s="10"/>
      <c r="AQ98" s="10"/>
      <c r="AR98" s="10"/>
      <c r="AS98" s="10"/>
      <c r="AT98" s="10"/>
      <c r="AU98" s="12">
        <v>33.22</v>
      </c>
      <c r="AW98" s="12">
        <v>39.88</v>
      </c>
      <c r="AX98" s="12" t="s">
        <v>50</v>
      </c>
      <c r="AY98" s="12" t="s">
        <v>50</v>
      </c>
      <c r="AZ98" s="51" t="s">
        <v>50</v>
      </c>
    </row>
    <row r="99" ht="14.25" customHeight="1">
      <c r="A99" s="26"/>
      <c r="B99" s="10" t="s">
        <v>269</v>
      </c>
      <c r="C99" s="10">
        <v>0.42</v>
      </c>
      <c r="D99" s="10" t="s">
        <v>94</v>
      </c>
      <c r="E99" s="10" t="s">
        <v>27</v>
      </c>
      <c r="F99" s="12" t="s">
        <v>285</v>
      </c>
      <c r="G99" s="12">
        <v>7.0</v>
      </c>
      <c r="H99" s="95">
        <v>85.19</v>
      </c>
      <c r="I99" s="95">
        <v>2620.24</v>
      </c>
      <c r="J99" s="95">
        <v>44.07</v>
      </c>
      <c r="K99" s="95">
        <v>3.89</v>
      </c>
      <c r="L99" s="95">
        <v>0.38</v>
      </c>
      <c r="M99" s="95">
        <v>245.04</v>
      </c>
      <c r="N99" s="112">
        <f t="shared" si="3"/>
        <v>289.11</v>
      </c>
      <c r="S99" s="2"/>
      <c r="T99" s="97"/>
      <c r="U99" s="96"/>
      <c r="Y99" s="97"/>
      <c r="Z99" s="97"/>
      <c r="AA99" s="97"/>
      <c r="AB99" s="97"/>
      <c r="AC99" s="10"/>
      <c r="AD99" s="10"/>
      <c r="AE99" s="10"/>
      <c r="AF99" s="10"/>
      <c r="AG99" s="10"/>
      <c r="AH99" s="10"/>
      <c r="AI99" s="10"/>
      <c r="AJ99" s="10"/>
      <c r="AM99" s="2"/>
      <c r="AT99" s="2"/>
      <c r="AU99" s="12">
        <v>18.44</v>
      </c>
      <c r="AW99" s="12">
        <v>29.01</v>
      </c>
      <c r="AX99" s="12">
        <v>28.81</v>
      </c>
      <c r="AY99" s="12">
        <v>33.04</v>
      </c>
      <c r="AZ99" s="51" t="s">
        <v>50</v>
      </c>
    </row>
    <row r="100" ht="13.5" customHeight="1">
      <c r="A100" s="26"/>
      <c r="B100" s="10" t="s">
        <v>269</v>
      </c>
      <c r="C100" s="10">
        <v>0.42</v>
      </c>
      <c r="D100" s="10" t="s">
        <v>94</v>
      </c>
      <c r="E100" s="10" t="s">
        <v>27</v>
      </c>
      <c r="F100" s="12" t="s">
        <v>286</v>
      </c>
      <c r="G100" s="12">
        <v>7.0</v>
      </c>
      <c r="H100" s="95">
        <v>97.28</v>
      </c>
      <c r="I100" s="95">
        <v>2997.59</v>
      </c>
      <c r="J100" s="95">
        <v>47.09</v>
      </c>
      <c r="K100" s="95">
        <v>3.23</v>
      </c>
      <c r="L100" s="95">
        <v>0.32</v>
      </c>
      <c r="M100" s="95">
        <v>238.82</v>
      </c>
      <c r="N100" s="112">
        <f t="shared" si="3"/>
        <v>285.91</v>
      </c>
      <c r="S100" s="2"/>
      <c r="T100" s="97"/>
      <c r="U100" s="96"/>
      <c r="Y100" s="97"/>
      <c r="Z100" s="97"/>
      <c r="AA100" s="97"/>
      <c r="AB100" s="97"/>
      <c r="AC100" s="10"/>
      <c r="AD100" s="10"/>
      <c r="AE100" s="10"/>
      <c r="AF100" s="10"/>
      <c r="AG100" s="10"/>
      <c r="AH100" s="10"/>
      <c r="AI100" s="10"/>
      <c r="AJ100" s="10"/>
      <c r="AM100" s="2"/>
      <c r="AT100" s="2"/>
      <c r="AU100" s="12">
        <v>23.49</v>
      </c>
      <c r="AW100" s="12">
        <v>28.87</v>
      </c>
      <c r="AX100" s="12">
        <v>44.54</v>
      </c>
      <c r="AY100" s="12">
        <v>41.34</v>
      </c>
      <c r="AZ100" s="51" t="s">
        <v>50</v>
      </c>
    </row>
    <row r="101" ht="13.5" customHeight="1">
      <c r="A101" s="33"/>
      <c r="B101" s="110" t="s">
        <v>269</v>
      </c>
      <c r="C101" s="34">
        <v>0.42</v>
      </c>
      <c r="D101" s="34" t="s">
        <v>94</v>
      </c>
      <c r="E101" s="34" t="s">
        <v>27</v>
      </c>
      <c r="F101" s="36" t="s">
        <v>287</v>
      </c>
      <c r="G101" s="36">
        <v>7.0</v>
      </c>
      <c r="H101" s="99">
        <v>87.74</v>
      </c>
      <c r="I101" s="99">
        <v>2522.99</v>
      </c>
      <c r="J101" s="99">
        <v>44.88</v>
      </c>
      <c r="K101" s="99">
        <v>3.64</v>
      </c>
      <c r="L101" s="99">
        <v>0.3</v>
      </c>
      <c r="M101" s="99">
        <v>253.71</v>
      </c>
      <c r="N101" s="112">
        <f t="shared" si="3"/>
        <v>298.59</v>
      </c>
      <c r="O101" s="44"/>
      <c r="P101" s="44"/>
      <c r="Q101" s="44"/>
      <c r="R101" s="44"/>
      <c r="S101" s="46"/>
      <c r="T101" s="100"/>
      <c r="U101" s="100"/>
      <c r="V101" s="100"/>
      <c r="W101" s="100"/>
      <c r="X101" s="89"/>
      <c r="Y101" s="100"/>
      <c r="Z101" s="100"/>
      <c r="AA101" s="100"/>
      <c r="AB101" s="100"/>
      <c r="AC101" s="34"/>
      <c r="AD101" s="34"/>
      <c r="AE101" s="34"/>
      <c r="AF101" s="34"/>
      <c r="AG101" s="34"/>
      <c r="AH101" s="34"/>
      <c r="AI101" s="34"/>
      <c r="AJ101" s="34"/>
      <c r="AK101" s="44"/>
      <c r="AL101" s="44"/>
      <c r="AM101" s="46"/>
      <c r="AN101" s="44"/>
      <c r="AO101" s="44"/>
      <c r="AP101" s="44"/>
      <c r="AQ101" s="44"/>
      <c r="AR101" s="44"/>
      <c r="AS101" s="44"/>
      <c r="AT101" s="46"/>
      <c r="AU101" s="36">
        <v>22.85</v>
      </c>
      <c r="AV101" s="44"/>
      <c r="AW101" s="36">
        <v>33.42</v>
      </c>
      <c r="AX101" s="36" t="s">
        <v>50</v>
      </c>
      <c r="AY101" s="36" t="s">
        <v>50</v>
      </c>
      <c r="AZ101" s="54" t="s">
        <v>50</v>
      </c>
    </row>
    <row r="102" ht="14.25" customHeight="1">
      <c r="A102" s="9" t="s">
        <v>288</v>
      </c>
      <c r="B102" s="10" t="s">
        <v>25</v>
      </c>
      <c r="C102" s="10">
        <v>0.42</v>
      </c>
      <c r="D102" s="10" t="s">
        <v>94</v>
      </c>
      <c r="E102" s="10" t="s">
        <v>27</v>
      </c>
      <c r="F102" s="10">
        <v>63.0</v>
      </c>
      <c r="G102" s="10">
        <v>5.0</v>
      </c>
      <c r="H102" s="29">
        <v>35.4715</v>
      </c>
      <c r="I102" s="113">
        <v>978.094</v>
      </c>
      <c r="J102" s="18"/>
      <c r="K102" s="12">
        <v>4.08483</v>
      </c>
      <c r="L102" s="10">
        <v>0.361</v>
      </c>
      <c r="M102" s="72"/>
      <c r="N102" s="10" t="s">
        <v>289</v>
      </c>
      <c r="O102" s="10">
        <v>22.59</v>
      </c>
      <c r="P102" s="72"/>
      <c r="Q102" s="10">
        <v>30.71</v>
      </c>
      <c r="R102" s="18"/>
      <c r="S102" s="49">
        <v>547.4225067807001</v>
      </c>
      <c r="T102" s="10"/>
      <c r="Y102" s="10">
        <v>1.0</v>
      </c>
      <c r="Z102" s="10"/>
      <c r="AA102" s="10">
        <v>1.8</v>
      </c>
      <c r="AB102" s="10"/>
      <c r="AC102" s="10">
        <v>3.1</v>
      </c>
      <c r="AD102" s="10"/>
      <c r="AE102" s="10">
        <v>5.0</v>
      </c>
      <c r="AF102" s="10"/>
      <c r="AG102" s="10"/>
      <c r="AH102" s="10"/>
      <c r="AI102" s="10"/>
      <c r="AJ102" s="10"/>
      <c r="AK102" s="10"/>
      <c r="AL102" s="10"/>
      <c r="AM102" s="51"/>
      <c r="AN102" s="12"/>
      <c r="AO102" s="12"/>
      <c r="AP102" s="12"/>
      <c r="AQ102" s="12">
        <v>8.0</v>
      </c>
      <c r="AR102" s="12"/>
      <c r="AS102" s="12"/>
      <c r="AT102" s="51"/>
      <c r="AU102" s="12">
        <v>26.4</v>
      </c>
      <c r="AW102" s="12">
        <v>38.1</v>
      </c>
      <c r="AX102" s="12">
        <v>45.7</v>
      </c>
      <c r="AY102" s="12">
        <v>57.1</v>
      </c>
      <c r="AZ102" s="2"/>
    </row>
    <row r="103" ht="14.25" customHeight="1">
      <c r="A103" s="26"/>
      <c r="B103" s="10" t="s">
        <v>25</v>
      </c>
      <c r="C103" s="10">
        <v>0.42</v>
      </c>
      <c r="D103" s="10" t="s">
        <v>94</v>
      </c>
      <c r="E103" s="10" t="s">
        <v>271</v>
      </c>
      <c r="F103" s="10">
        <v>73.0</v>
      </c>
      <c r="G103" s="10">
        <v>5.0</v>
      </c>
      <c r="H103" s="29">
        <v>45.75425</v>
      </c>
      <c r="I103" s="12">
        <v>1305.804</v>
      </c>
      <c r="J103" s="18"/>
      <c r="K103" s="114">
        <v>5.59</v>
      </c>
      <c r="L103" s="10">
        <v>0.707</v>
      </c>
      <c r="M103" s="72"/>
      <c r="N103" s="10" t="s">
        <v>290</v>
      </c>
      <c r="O103" s="10">
        <v>23.88</v>
      </c>
      <c r="P103" s="72"/>
      <c r="Q103" s="10">
        <v>27.51</v>
      </c>
      <c r="R103" s="72"/>
      <c r="S103" s="49">
        <v>517.503066178</v>
      </c>
      <c r="T103" s="10"/>
      <c r="Y103" s="10">
        <v>5.9</v>
      </c>
      <c r="Z103" s="10"/>
      <c r="AA103" s="10">
        <v>6.7</v>
      </c>
      <c r="AB103" s="10"/>
      <c r="AC103" s="10">
        <v>7.9</v>
      </c>
      <c r="AD103" s="10"/>
      <c r="AE103" s="10">
        <v>8.0</v>
      </c>
      <c r="AF103" s="10"/>
      <c r="AG103" s="10">
        <v>5.8</v>
      </c>
      <c r="AH103" s="10"/>
      <c r="AI103" s="10">
        <v>6.3</v>
      </c>
      <c r="AJ103" s="10"/>
      <c r="AK103" s="10">
        <v>7.3</v>
      </c>
      <c r="AL103" s="10"/>
      <c r="AM103" s="51"/>
      <c r="AN103" s="12"/>
      <c r="AO103" s="12"/>
      <c r="AP103" s="12"/>
      <c r="AQ103" s="12"/>
      <c r="AR103" s="12">
        <v>23.3</v>
      </c>
      <c r="AS103" s="12"/>
      <c r="AT103" s="51">
        <v>20.5</v>
      </c>
      <c r="AU103" s="12">
        <v>18.7</v>
      </c>
      <c r="AW103" s="12">
        <v>29.8</v>
      </c>
      <c r="AX103" s="12">
        <v>32.0</v>
      </c>
      <c r="AY103" s="12">
        <v>38.3</v>
      </c>
      <c r="AZ103" s="2"/>
    </row>
    <row r="104" ht="14.25" customHeight="1">
      <c r="A104" s="26"/>
      <c r="B104" s="10" t="s">
        <v>25</v>
      </c>
      <c r="C104" s="10">
        <v>0.42</v>
      </c>
      <c r="D104" s="10" t="s">
        <v>94</v>
      </c>
      <c r="E104" s="10" t="s">
        <v>291</v>
      </c>
      <c r="F104" s="10">
        <v>741.0</v>
      </c>
      <c r="G104" s="10">
        <v>5.0</v>
      </c>
      <c r="H104" s="29">
        <v>54.43044</v>
      </c>
      <c r="I104" s="12">
        <v>1351.436</v>
      </c>
      <c r="J104" s="18"/>
      <c r="K104" s="10">
        <v>4.27404</v>
      </c>
      <c r="L104" s="10">
        <v>0.387</v>
      </c>
      <c r="M104" s="72"/>
      <c r="N104" s="10" t="s">
        <v>292</v>
      </c>
      <c r="O104" s="10">
        <v>23.71</v>
      </c>
      <c r="P104" s="72"/>
      <c r="Q104" s="10">
        <v>28.51</v>
      </c>
      <c r="R104" s="72"/>
      <c r="S104" s="49">
        <v>531.7213480242999</v>
      </c>
      <c r="T104" s="10"/>
      <c r="Y104" s="10">
        <v>1.3</v>
      </c>
      <c r="Z104" s="10"/>
      <c r="AA104" s="10">
        <v>2.0</v>
      </c>
      <c r="AB104" s="10"/>
      <c r="AC104" s="10">
        <v>1.9</v>
      </c>
      <c r="AD104" s="10"/>
      <c r="AE104" s="10">
        <v>5.9</v>
      </c>
      <c r="AF104" s="10"/>
      <c r="AG104" s="10"/>
      <c r="AH104" s="10"/>
      <c r="AI104" s="10"/>
      <c r="AJ104" s="10"/>
      <c r="AK104" s="10"/>
      <c r="AL104" s="10"/>
      <c r="AM104" s="51"/>
      <c r="AN104" s="12"/>
      <c r="AO104" s="12"/>
      <c r="AP104" s="12"/>
      <c r="AQ104" s="12">
        <v>7.7</v>
      </c>
      <c r="AR104" s="12"/>
      <c r="AS104" s="12"/>
      <c r="AT104" s="51"/>
      <c r="AU104" s="12">
        <v>25.7</v>
      </c>
      <c r="AW104" s="12">
        <v>44.1</v>
      </c>
      <c r="AX104" s="12">
        <v>50.2</v>
      </c>
      <c r="AY104" s="12">
        <v>55.4</v>
      </c>
      <c r="AZ104" s="2"/>
    </row>
    <row r="105" ht="14.25" customHeight="1">
      <c r="A105" s="26"/>
      <c r="B105" s="10" t="s">
        <v>25</v>
      </c>
      <c r="C105" s="10">
        <v>0.42</v>
      </c>
      <c r="D105" s="10" t="s">
        <v>94</v>
      </c>
      <c r="E105" s="10" t="s">
        <v>291</v>
      </c>
      <c r="F105" s="10">
        <v>742.0</v>
      </c>
      <c r="G105" s="10">
        <v>5.0</v>
      </c>
      <c r="H105" s="29">
        <v>34.38255</v>
      </c>
      <c r="I105" s="12">
        <v>971.367</v>
      </c>
      <c r="J105" s="18"/>
      <c r="K105" s="12">
        <v>4.02108</v>
      </c>
      <c r="L105" s="10">
        <v>0.342</v>
      </c>
      <c r="M105" s="72"/>
      <c r="N105" s="10" t="s">
        <v>293</v>
      </c>
      <c r="O105" s="10">
        <v>21.78</v>
      </c>
      <c r="P105" s="72"/>
      <c r="Q105" s="10">
        <v>31.48</v>
      </c>
      <c r="R105" s="72"/>
      <c r="S105" s="49">
        <v>570.6779189642499</v>
      </c>
      <c r="T105" s="10"/>
      <c r="Y105" s="10">
        <v>2.4</v>
      </c>
      <c r="Z105" s="10"/>
      <c r="AA105" s="10">
        <v>2.4</v>
      </c>
      <c r="AB105" s="10"/>
      <c r="AC105" s="10">
        <v>3.5</v>
      </c>
      <c r="AD105" s="10"/>
      <c r="AE105" s="10">
        <v>3.5</v>
      </c>
      <c r="AF105" s="10"/>
      <c r="AG105" s="10">
        <v>4.0</v>
      </c>
      <c r="AH105" s="10"/>
      <c r="AI105" s="10">
        <v>5.3</v>
      </c>
      <c r="AJ105" s="10"/>
      <c r="AK105" s="10">
        <v>9.1</v>
      </c>
      <c r="AL105" s="10"/>
      <c r="AM105" s="51">
        <v>8.7</v>
      </c>
      <c r="AN105" s="12"/>
      <c r="AO105" s="12"/>
      <c r="AP105" s="12"/>
      <c r="AQ105" s="12"/>
      <c r="AR105" s="12">
        <v>25.4</v>
      </c>
      <c r="AS105" s="12"/>
      <c r="AT105" s="51">
        <v>26.0</v>
      </c>
      <c r="AU105" s="12">
        <v>25.6</v>
      </c>
      <c r="AW105" s="12">
        <v>36.4</v>
      </c>
      <c r="AX105" s="12">
        <v>55.5</v>
      </c>
      <c r="AY105" s="12">
        <v>59.2</v>
      </c>
      <c r="AZ105" s="2"/>
    </row>
    <row r="106" ht="14.25" customHeight="1">
      <c r="A106" s="26"/>
      <c r="B106" s="10" t="s">
        <v>25</v>
      </c>
      <c r="C106" s="10">
        <v>0.42</v>
      </c>
      <c r="D106" s="10" t="s">
        <v>94</v>
      </c>
      <c r="E106" s="10" t="s">
        <v>291</v>
      </c>
      <c r="F106" s="10">
        <v>743.0</v>
      </c>
      <c r="G106" s="10">
        <v>5.0</v>
      </c>
      <c r="H106" s="29">
        <v>41.20557</v>
      </c>
      <c r="I106" s="12">
        <v>852.72</v>
      </c>
      <c r="J106" s="18"/>
      <c r="K106" s="12">
        <v>4.03285</v>
      </c>
      <c r="L106" s="10">
        <v>0.331</v>
      </c>
      <c r="M106" s="72"/>
      <c r="N106" s="10" t="s">
        <v>294</v>
      </c>
      <c r="O106" s="10">
        <v>23.86</v>
      </c>
      <c r="P106" s="72"/>
      <c r="Q106" s="10">
        <v>28.86</v>
      </c>
      <c r="R106" s="72"/>
      <c r="S106" s="49">
        <v>537.0401610893003</v>
      </c>
      <c r="T106" s="10"/>
      <c r="Y106" s="10">
        <v>1.2</v>
      </c>
      <c r="Z106" s="10"/>
      <c r="AA106" s="10">
        <v>2.0</v>
      </c>
      <c r="AB106" s="10"/>
      <c r="AC106" s="10">
        <v>2.7</v>
      </c>
      <c r="AD106" s="10"/>
      <c r="AE106" s="10">
        <v>3.8</v>
      </c>
      <c r="AF106" s="10"/>
      <c r="AG106" s="10">
        <v>5.0</v>
      </c>
      <c r="AH106" s="10"/>
      <c r="AI106" s="10">
        <v>5.5</v>
      </c>
      <c r="AJ106" s="10"/>
      <c r="AK106" s="10">
        <v>6.8</v>
      </c>
      <c r="AL106" s="10"/>
      <c r="AM106" s="51">
        <v>10.2</v>
      </c>
      <c r="AN106" s="12"/>
      <c r="AO106" s="12"/>
      <c r="AP106" s="12"/>
      <c r="AQ106" s="12"/>
      <c r="AR106" s="12">
        <v>15.4</v>
      </c>
      <c r="AS106" s="12"/>
      <c r="AT106" s="51">
        <v>24.8</v>
      </c>
      <c r="AU106" s="12">
        <v>21.8</v>
      </c>
      <c r="AW106" s="12">
        <v>37.0</v>
      </c>
      <c r="AX106" s="12">
        <v>39.5</v>
      </c>
      <c r="AY106" s="12">
        <v>46.5</v>
      </c>
      <c r="AZ106" s="2"/>
    </row>
    <row r="107" ht="14.25" customHeight="1">
      <c r="A107" s="26"/>
      <c r="B107" s="10" t="s">
        <v>25</v>
      </c>
      <c r="C107" s="10">
        <v>0.42</v>
      </c>
      <c r="D107" s="10" t="s">
        <v>94</v>
      </c>
      <c r="E107" s="10" t="s">
        <v>291</v>
      </c>
      <c r="F107" s="10">
        <v>745.0</v>
      </c>
      <c r="G107" s="10">
        <v>5.0</v>
      </c>
      <c r="H107" s="29">
        <v>40.44745</v>
      </c>
      <c r="I107" s="12">
        <v>913.863</v>
      </c>
      <c r="J107" s="18"/>
      <c r="K107" s="115">
        <v>4.74</v>
      </c>
      <c r="L107" s="10">
        <v>0.524</v>
      </c>
      <c r="M107" s="72"/>
      <c r="N107" s="10">
        <v>244.69</v>
      </c>
      <c r="O107" s="10">
        <v>25.82</v>
      </c>
      <c r="P107" s="72"/>
      <c r="Q107" s="10">
        <v>27.13</v>
      </c>
      <c r="R107" s="72"/>
      <c r="S107" s="49">
        <v>526.5185501650502</v>
      </c>
      <c r="T107" s="10"/>
      <c r="Y107" s="10">
        <v>1.8</v>
      </c>
      <c r="Z107" s="10"/>
      <c r="AA107" s="10">
        <v>2.5</v>
      </c>
      <c r="AB107" s="10"/>
      <c r="AC107" s="10">
        <v>3.9</v>
      </c>
      <c r="AD107" s="10"/>
      <c r="AE107" s="10">
        <v>4.5</v>
      </c>
      <c r="AF107" s="10"/>
      <c r="AG107" s="10">
        <v>7.6</v>
      </c>
      <c r="AH107" s="10"/>
      <c r="AI107" s="10">
        <v>10.1</v>
      </c>
      <c r="AJ107" s="10"/>
      <c r="AK107" s="10">
        <v>11.1</v>
      </c>
      <c r="AL107" s="10"/>
      <c r="AM107" s="51">
        <v>11.1</v>
      </c>
      <c r="AN107" s="12"/>
      <c r="AO107" s="12"/>
      <c r="AP107" s="12"/>
      <c r="AQ107" s="12"/>
      <c r="AR107" s="12">
        <v>24.3</v>
      </c>
      <c r="AS107" s="12"/>
      <c r="AT107" s="51">
        <v>25.4</v>
      </c>
      <c r="AU107" s="12">
        <v>18.2</v>
      </c>
      <c r="AW107" s="12">
        <v>38.4</v>
      </c>
      <c r="AX107" s="12">
        <v>46.8</v>
      </c>
      <c r="AY107" s="12">
        <v>44.4</v>
      </c>
      <c r="AZ107" s="2"/>
    </row>
    <row r="108" ht="14.25" customHeight="1">
      <c r="A108" s="26"/>
      <c r="B108" s="10" t="s">
        <v>25</v>
      </c>
      <c r="C108" s="10">
        <v>0.42</v>
      </c>
      <c r="D108" s="10" t="s">
        <v>94</v>
      </c>
      <c r="E108" s="10" t="s">
        <v>27</v>
      </c>
      <c r="F108" s="10">
        <v>63.0</v>
      </c>
      <c r="G108" s="10">
        <v>7.0</v>
      </c>
      <c r="H108" s="29">
        <v>43.81434</v>
      </c>
      <c r="I108" s="12">
        <v>1017.731</v>
      </c>
      <c r="J108" s="72"/>
      <c r="K108" s="10">
        <v>4.0532</v>
      </c>
      <c r="L108" s="10">
        <v>0.391</v>
      </c>
      <c r="M108" s="72"/>
      <c r="N108" s="10">
        <v>243.89</v>
      </c>
      <c r="O108" s="10">
        <v>23.4</v>
      </c>
      <c r="P108" s="72"/>
      <c r="Q108" s="10">
        <v>28.64</v>
      </c>
      <c r="R108" s="72"/>
      <c r="S108" s="49">
        <v>529.92143472285</v>
      </c>
      <c r="T108" s="10"/>
      <c r="Y108" s="10">
        <v>0.7</v>
      </c>
      <c r="Z108" s="10"/>
      <c r="AA108" s="10">
        <v>2.5</v>
      </c>
      <c r="AB108" s="10"/>
      <c r="AC108" s="10">
        <v>3.2</v>
      </c>
      <c r="AD108" s="10"/>
      <c r="AE108" s="10">
        <v>5.7</v>
      </c>
      <c r="AF108" s="10"/>
      <c r="AG108" s="10"/>
      <c r="AH108" s="10"/>
      <c r="AI108" s="10"/>
      <c r="AJ108" s="10"/>
      <c r="AK108" s="10"/>
      <c r="AL108" s="10"/>
      <c r="AM108" s="51"/>
      <c r="AN108" s="12"/>
      <c r="AO108" s="12"/>
      <c r="AP108" s="12"/>
      <c r="AQ108" s="12">
        <v>13.1</v>
      </c>
      <c r="AR108" s="12"/>
      <c r="AS108" s="12"/>
      <c r="AT108" s="51"/>
      <c r="AU108" s="12">
        <v>18.9</v>
      </c>
      <c r="AW108" s="12">
        <v>32.8</v>
      </c>
      <c r="AX108" s="12">
        <v>43.2</v>
      </c>
      <c r="AY108" s="12">
        <v>45.2</v>
      </c>
      <c r="AZ108" s="2"/>
    </row>
    <row r="109" ht="14.25" customHeight="1">
      <c r="A109" s="26"/>
      <c r="B109" s="10" t="s">
        <v>25</v>
      </c>
      <c r="C109" s="10">
        <v>0.42</v>
      </c>
      <c r="D109" s="10" t="s">
        <v>94</v>
      </c>
      <c r="E109" s="10" t="s">
        <v>271</v>
      </c>
      <c r="F109" s="10">
        <v>73.0</v>
      </c>
      <c r="G109" s="10">
        <v>7.0</v>
      </c>
      <c r="H109" s="29">
        <v>80.33609</v>
      </c>
      <c r="I109" s="12">
        <v>2375.004</v>
      </c>
      <c r="J109" s="72"/>
      <c r="K109" s="10">
        <v>5.80382</v>
      </c>
      <c r="L109" s="10">
        <v>0.55</v>
      </c>
      <c r="M109" s="72"/>
      <c r="N109" s="10">
        <v>283.83</v>
      </c>
      <c r="O109" s="10">
        <v>23.18</v>
      </c>
      <c r="P109" s="72"/>
      <c r="Q109" s="10">
        <v>25.99</v>
      </c>
      <c r="R109" s="72"/>
      <c r="S109" s="49">
        <v>510.45939570914993</v>
      </c>
      <c r="T109" s="10"/>
      <c r="Y109" s="10">
        <v>8.4</v>
      </c>
      <c r="Z109" s="10"/>
      <c r="AA109" s="10">
        <v>5.8</v>
      </c>
      <c r="AB109" s="10"/>
      <c r="AC109" s="10">
        <v>7.8</v>
      </c>
      <c r="AD109" s="10"/>
      <c r="AE109" s="10">
        <v>10.2</v>
      </c>
      <c r="AF109" s="10"/>
      <c r="AG109" s="10">
        <v>12.1</v>
      </c>
      <c r="AH109" s="10"/>
      <c r="AI109" s="10"/>
      <c r="AJ109" s="10"/>
      <c r="AK109" s="10"/>
      <c r="AL109" s="10"/>
      <c r="AM109" s="51"/>
      <c r="AN109" s="12"/>
      <c r="AO109" s="12"/>
      <c r="AP109" s="12"/>
      <c r="AQ109" s="12"/>
      <c r="AR109" s="12">
        <v>15.9</v>
      </c>
      <c r="AS109" s="12"/>
      <c r="AT109" s="51">
        <v>18.9</v>
      </c>
      <c r="AU109" s="12">
        <v>16.4</v>
      </c>
      <c r="AW109" s="12">
        <v>25.8</v>
      </c>
      <c r="AX109" s="12">
        <v>30.2</v>
      </c>
      <c r="AY109" s="12">
        <v>32.9</v>
      </c>
      <c r="AZ109" s="2"/>
    </row>
    <row r="110" ht="14.25" customHeight="1">
      <c r="A110" s="26"/>
      <c r="B110" s="10" t="s">
        <v>25</v>
      </c>
      <c r="C110" s="10">
        <v>0.42</v>
      </c>
      <c r="D110" s="10" t="s">
        <v>94</v>
      </c>
      <c r="E110" s="10" t="s">
        <v>291</v>
      </c>
      <c r="F110" s="10">
        <v>741.0</v>
      </c>
      <c r="G110" s="10">
        <v>7.0</v>
      </c>
      <c r="H110" s="29">
        <v>53.82906</v>
      </c>
      <c r="I110" s="12">
        <v>1353.232</v>
      </c>
      <c r="J110" s="72"/>
      <c r="K110" s="10">
        <v>4.23273</v>
      </c>
      <c r="L110" s="10">
        <v>0.388</v>
      </c>
      <c r="M110" s="72"/>
      <c r="N110" s="10">
        <v>252.99</v>
      </c>
      <c r="O110" s="116">
        <v>24.14975</v>
      </c>
      <c r="P110" s="71"/>
      <c r="Q110" s="116">
        <v>26.49966</v>
      </c>
      <c r="R110" s="72"/>
      <c r="S110" s="49">
        <v>516.4640843084</v>
      </c>
      <c r="T110" s="10"/>
      <c r="Y110" s="10">
        <v>1.5</v>
      </c>
      <c r="Z110" s="10"/>
      <c r="AA110" s="10">
        <v>2.8</v>
      </c>
      <c r="AB110" s="10"/>
      <c r="AC110" s="10">
        <v>4.1</v>
      </c>
      <c r="AD110" s="10"/>
      <c r="AE110" s="10">
        <v>6.7</v>
      </c>
      <c r="AF110" s="10"/>
      <c r="AG110" s="10"/>
      <c r="AH110" s="10"/>
      <c r="AI110" s="10"/>
      <c r="AJ110" s="10"/>
      <c r="AK110" s="10"/>
      <c r="AL110" s="10"/>
      <c r="AM110" s="51"/>
      <c r="AN110" s="12"/>
      <c r="AO110" s="12"/>
      <c r="AP110" s="12"/>
      <c r="AQ110" s="12">
        <v>20.1</v>
      </c>
      <c r="AR110" s="12"/>
      <c r="AS110" s="12"/>
      <c r="AT110" s="51"/>
      <c r="AU110" s="12">
        <v>19.7</v>
      </c>
      <c r="AW110" s="12">
        <v>35.7</v>
      </c>
      <c r="AX110" s="12">
        <v>41.5</v>
      </c>
      <c r="AY110" s="12">
        <v>46.8</v>
      </c>
      <c r="AZ110" s="2"/>
    </row>
    <row r="111" ht="14.25" customHeight="1">
      <c r="A111" s="26"/>
      <c r="B111" s="10" t="s">
        <v>25</v>
      </c>
      <c r="C111" s="10">
        <v>0.42</v>
      </c>
      <c r="D111" s="10" t="s">
        <v>94</v>
      </c>
      <c r="E111" s="10" t="s">
        <v>291</v>
      </c>
      <c r="F111" s="10">
        <v>742.0</v>
      </c>
      <c r="G111" s="10">
        <v>7.0</v>
      </c>
      <c r="H111" s="29">
        <v>49.18156</v>
      </c>
      <c r="I111" s="12">
        <v>1134.101</v>
      </c>
      <c r="J111" s="72"/>
      <c r="K111" s="10">
        <v>4.07446</v>
      </c>
      <c r="L111" s="10">
        <v>0.393</v>
      </c>
      <c r="M111" s="72"/>
      <c r="N111" s="10">
        <v>236.39</v>
      </c>
      <c r="O111" s="116">
        <v>22.40238</v>
      </c>
      <c r="P111" s="71"/>
      <c r="Q111" s="116">
        <v>28.39766</v>
      </c>
      <c r="R111" s="72"/>
      <c r="S111" s="49">
        <v>541.4000328405998</v>
      </c>
      <c r="T111" s="10"/>
      <c r="Y111" s="10">
        <v>2.0</v>
      </c>
      <c r="Z111" s="10"/>
      <c r="AA111" s="10">
        <v>2.3</v>
      </c>
      <c r="AB111" s="10"/>
      <c r="AC111" s="10">
        <v>3.1</v>
      </c>
      <c r="AD111" s="10"/>
      <c r="AE111" s="10">
        <v>3.5</v>
      </c>
      <c r="AF111" s="10"/>
      <c r="AG111" s="10">
        <v>5.5</v>
      </c>
      <c r="AH111" s="10"/>
      <c r="AI111" s="10">
        <v>6.9</v>
      </c>
      <c r="AJ111" s="10"/>
      <c r="AK111" s="10">
        <v>6.9</v>
      </c>
      <c r="AL111" s="10"/>
      <c r="AM111" s="51">
        <v>5.3</v>
      </c>
      <c r="AN111" s="12"/>
      <c r="AO111" s="12"/>
      <c r="AP111" s="12"/>
      <c r="AQ111" s="12"/>
      <c r="AR111" s="12">
        <v>25.2</v>
      </c>
      <c r="AS111" s="12"/>
      <c r="AT111" s="51">
        <v>25.2</v>
      </c>
      <c r="AU111" s="12">
        <v>27.9</v>
      </c>
      <c r="AW111" s="12">
        <v>41.1</v>
      </c>
      <c r="AX111" s="12">
        <v>49.9</v>
      </c>
      <c r="AY111" s="12">
        <v>50.3</v>
      </c>
      <c r="AZ111" s="2"/>
    </row>
    <row r="112" ht="14.25" customHeight="1">
      <c r="A112" s="26"/>
      <c r="B112" s="10" t="s">
        <v>25</v>
      </c>
      <c r="C112" s="10">
        <v>0.42</v>
      </c>
      <c r="D112" s="10" t="s">
        <v>94</v>
      </c>
      <c r="E112" s="10" t="s">
        <v>291</v>
      </c>
      <c r="F112" s="10">
        <v>743.0</v>
      </c>
      <c r="G112" s="10">
        <v>7.0</v>
      </c>
      <c r="H112" s="29">
        <v>48.54052</v>
      </c>
      <c r="I112" s="12">
        <v>1120.081</v>
      </c>
      <c r="J112" s="72"/>
      <c r="K112" s="10">
        <v>4.24898</v>
      </c>
      <c r="L112" s="10">
        <v>0.412</v>
      </c>
      <c r="M112" s="72"/>
      <c r="N112" s="10">
        <v>233.04</v>
      </c>
      <c r="O112" s="116">
        <v>25.35483</v>
      </c>
      <c r="P112" s="71"/>
      <c r="Q112" s="116">
        <v>27.31309</v>
      </c>
      <c r="R112" s="72"/>
      <c r="S112" s="49">
        <v>528.9651659615001</v>
      </c>
      <c r="T112" s="10"/>
      <c r="Y112" s="10">
        <v>2.7</v>
      </c>
      <c r="Z112" s="10"/>
      <c r="AA112" s="10">
        <v>3.5</v>
      </c>
      <c r="AB112" s="10"/>
      <c r="AC112" s="10">
        <v>4.4</v>
      </c>
      <c r="AD112" s="10"/>
      <c r="AE112" s="10">
        <v>5.7</v>
      </c>
      <c r="AF112" s="10"/>
      <c r="AG112" s="10">
        <v>5.4</v>
      </c>
      <c r="AH112" s="10"/>
      <c r="AI112" s="10">
        <v>8.8</v>
      </c>
      <c r="AJ112" s="10"/>
      <c r="AK112" s="10">
        <v>10.0</v>
      </c>
      <c r="AL112" s="10"/>
      <c r="AM112" s="51">
        <v>9.0</v>
      </c>
      <c r="AN112" s="12"/>
      <c r="AO112" s="12"/>
      <c r="AP112" s="12"/>
      <c r="AQ112" s="12"/>
      <c r="AR112" s="12">
        <v>15.7</v>
      </c>
      <c r="AS112" s="12"/>
      <c r="AT112" s="51">
        <v>25.6</v>
      </c>
      <c r="AU112" s="12">
        <v>19.0</v>
      </c>
      <c r="AW112" s="12">
        <v>33.3</v>
      </c>
      <c r="AX112" s="12">
        <v>36.4</v>
      </c>
      <c r="AY112" s="12">
        <v>40.1</v>
      </c>
      <c r="AZ112" s="2"/>
    </row>
    <row r="113" ht="14.25" customHeight="1">
      <c r="A113" s="33"/>
      <c r="B113" s="34" t="s">
        <v>25</v>
      </c>
      <c r="C113" s="34">
        <v>0.42</v>
      </c>
      <c r="D113" s="34" t="s">
        <v>94</v>
      </c>
      <c r="E113" s="34" t="s">
        <v>291</v>
      </c>
      <c r="F113" s="34">
        <v>745.0</v>
      </c>
      <c r="G113" s="34">
        <v>7.0</v>
      </c>
      <c r="H113" s="117">
        <v>28.10754</v>
      </c>
      <c r="I113" s="36">
        <v>583.775</v>
      </c>
      <c r="J113" s="118"/>
      <c r="K113" s="34">
        <v>4.91796</v>
      </c>
      <c r="L113" s="34">
        <v>0.568</v>
      </c>
      <c r="M113" s="118"/>
      <c r="N113" s="34">
        <v>238.74</v>
      </c>
      <c r="O113" s="119">
        <v>26.7708</v>
      </c>
      <c r="P113" s="120"/>
      <c r="Q113" s="119">
        <v>26.25864</v>
      </c>
      <c r="R113" s="118"/>
      <c r="S113" s="52">
        <v>526.9455096754</v>
      </c>
      <c r="T113" s="34"/>
      <c r="U113" s="44"/>
      <c r="V113" s="44"/>
      <c r="W113" s="44"/>
      <c r="X113" s="44"/>
      <c r="Y113" s="34">
        <v>1.4</v>
      </c>
      <c r="Z113" s="34"/>
      <c r="AA113" s="34">
        <v>2.0</v>
      </c>
      <c r="AB113" s="34"/>
      <c r="AC113" s="34">
        <v>3.8</v>
      </c>
      <c r="AD113" s="34"/>
      <c r="AE113" s="34">
        <v>6.0</v>
      </c>
      <c r="AF113" s="34"/>
      <c r="AG113" s="34">
        <v>7.1</v>
      </c>
      <c r="AH113" s="34"/>
      <c r="AI113" s="34">
        <v>9.1</v>
      </c>
      <c r="AJ113" s="34"/>
      <c r="AK113" s="34">
        <v>10.6</v>
      </c>
      <c r="AL113" s="34"/>
      <c r="AM113" s="54">
        <v>12.6</v>
      </c>
      <c r="AN113" s="36"/>
      <c r="AO113" s="36"/>
      <c r="AP113" s="36"/>
      <c r="AQ113" s="36"/>
      <c r="AR113" s="36">
        <v>24.2</v>
      </c>
      <c r="AS113" s="36"/>
      <c r="AT113" s="54">
        <v>26.5</v>
      </c>
      <c r="AU113" s="36">
        <v>17.8</v>
      </c>
      <c r="AV113" s="44"/>
      <c r="AW113" s="36">
        <v>40.5</v>
      </c>
      <c r="AX113" s="36">
        <v>43.6</v>
      </c>
      <c r="AY113" s="36">
        <v>38.3</v>
      </c>
      <c r="AZ113" s="46"/>
    </row>
    <row r="114" ht="15.0" customHeight="1">
      <c r="A114" s="9" t="s">
        <v>295</v>
      </c>
      <c r="B114" s="10" t="s">
        <v>25</v>
      </c>
      <c r="C114" s="10">
        <v>0.42</v>
      </c>
      <c r="D114" s="10" t="s">
        <v>94</v>
      </c>
      <c r="E114" s="10" t="s">
        <v>27</v>
      </c>
      <c r="F114" s="13">
        <v>63.0</v>
      </c>
      <c r="G114" s="12">
        <v>5.0</v>
      </c>
      <c r="H114" s="12">
        <v>35.32</v>
      </c>
      <c r="I114" s="121"/>
      <c r="J114" s="121"/>
      <c r="K114" s="12">
        <v>4.09</v>
      </c>
      <c r="L114" s="15"/>
      <c r="M114" s="15"/>
      <c r="N114" s="15"/>
      <c r="O114" s="12">
        <v>23.6</v>
      </c>
      <c r="P114" s="18"/>
      <c r="Q114" s="12">
        <v>31.2</v>
      </c>
      <c r="R114" s="18"/>
      <c r="S114" s="19">
        <v>598.2291787718013</v>
      </c>
      <c r="Y114" s="12">
        <v>0.0</v>
      </c>
      <c r="Z114" s="12"/>
      <c r="AA114" s="12">
        <v>0.4</v>
      </c>
      <c r="AB114" s="12"/>
      <c r="AC114" s="12">
        <v>0.7</v>
      </c>
      <c r="AD114" s="12"/>
      <c r="AE114" s="12">
        <v>0.8</v>
      </c>
      <c r="AF114" s="12"/>
      <c r="AG114" s="12">
        <v>1.4</v>
      </c>
      <c r="AH114" s="12"/>
      <c r="AI114" s="12">
        <v>1.9</v>
      </c>
      <c r="AJ114" s="12"/>
      <c r="AK114" s="12">
        <v>3.4</v>
      </c>
      <c r="AL114" s="12"/>
      <c r="AM114" s="122" t="s">
        <v>50</v>
      </c>
      <c r="AP114" s="12" t="s">
        <v>296</v>
      </c>
      <c r="AQ114" s="12"/>
      <c r="AR114" s="12"/>
      <c r="AS114" s="12">
        <v>13.3</v>
      </c>
      <c r="AT114" s="122">
        <v>17.6</v>
      </c>
      <c r="AU114" s="12">
        <v>26.1</v>
      </c>
      <c r="AV114" s="12"/>
      <c r="AW114" s="12">
        <v>34.8</v>
      </c>
      <c r="AX114" s="12">
        <v>48.5</v>
      </c>
      <c r="AY114" s="12">
        <v>53.2</v>
      </c>
      <c r="AZ114" s="51"/>
    </row>
    <row r="115" ht="15.0" customHeight="1">
      <c r="A115" s="26"/>
      <c r="B115" s="10" t="s">
        <v>25</v>
      </c>
      <c r="C115" s="10">
        <v>0.42</v>
      </c>
      <c r="D115" s="10" t="s">
        <v>94</v>
      </c>
      <c r="E115" s="10" t="s">
        <v>291</v>
      </c>
      <c r="F115" s="13">
        <v>8601.0</v>
      </c>
      <c r="G115" s="12">
        <v>5.0</v>
      </c>
      <c r="H115" s="12">
        <v>34.4</v>
      </c>
      <c r="I115" s="121"/>
      <c r="J115" s="121"/>
      <c r="K115" s="12">
        <v>3.85</v>
      </c>
      <c r="L115" s="15"/>
      <c r="M115" s="15"/>
      <c r="N115" s="15"/>
      <c r="O115" s="12">
        <v>24.5</v>
      </c>
      <c r="P115" s="18"/>
      <c r="Q115" s="12">
        <v>31.0</v>
      </c>
      <c r="R115" s="18"/>
      <c r="S115" s="19">
        <v>594.5637355013321</v>
      </c>
      <c r="Y115" s="12">
        <v>0.0</v>
      </c>
      <c r="Z115" s="12"/>
      <c r="AA115" s="12">
        <v>0.0</v>
      </c>
      <c r="AB115" s="12"/>
      <c r="AC115" s="12">
        <v>0.5</v>
      </c>
      <c r="AD115" s="12"/>
      <c r="AE115" s="12">
        <v>0.7</v>
      </c>
      <c r="AF115" s="12"/>
      <c r="AG115" s="12">
        <v>1.4</v>
      </c>
      <c r="AH115" s="12"/>
      <c r="AI115" s="12">
        <v>2.0</v>
      </c>
      <c r="AJ115" s="12"/>
      <c r="AK115" s="12">
        <v>3.5</v>
      </c>
      <c r="AL115" s="12"/>
      <c r="AM115" s="51">
        <v>5.3</v>
      </c>
      <c r="AP115" s="12" t="s">
        <v>296</v>
      </c>
      <c r="AQ115" s="12"/>
      <c r="AR115" s="12"/>
      <c r="AS115" s="12">
        <v>27.1</v>
      </c>
      <c r="AT115" s="51">
        <v>27.1</v>
      </c>
      <c r="AU115" s="12">
        <v>22.4</v>
      </c>
      <c r="AV115" s="12"/>
      <c r="AW115" s="12">
        <v>31.1</v>
      </c>
      <c r="AX115" s="12">
        <v>38.6</v>
      </c>
      <c r="AY115" s="12"/>
      <c r="AZ115" s="51"/>
    </row>
    <row r="116" ht="14.25" customHeight="1">
      <c r="A116" s="26"/>
      <c r="B116" s="10" t="s">
        <v>25</v>
      </c>
      <c r="C116" s="10">
        <v>0.42</v>
      </c>
      <c r="D116" s="10" t="s">
        <v>94</v>
      </c>
      <c r="E116" s="10" t="s">
        <v>291</v>
      </c>
      <c r="F116" s="10">
        <v>8603.0</v>
      </c>
      <c r="G116" s="12">
        <v>5.0</v>
      </c>
      <c r="H116" s="12">
        <v>41.15</v>
      </c>
      <c r="I116" s="121"/>
      <c r="J116" s="121"/>
      <c r="K116" s="12">
        <v>4.03</v>
      </c>
      <c r="L116" s="15"/>
      <c r="M116" s="15"/>
      <c r="N116" s="15"/>
      <c r="O116" s="12">
        <v>24.0</v>
      </c>
      <c r="P116" s="18"/>
      <c r="Q116" s="12">
        <v>30.6</v>
      </c>
      <c r="R116" s="18"/>
      <c r="S116" s="19">
        <v>589.6696823342423</v>
      </c>
      <c r="Y116" s="12">
        <v>0.0</v>
      </c>
      <c r="Z116" s="12"/>
      <c r="AA116" s="12">
        <v>0.6</v>
      </c>
      <c r="AB116" s="12"/>
      <c r="AC116" s="12">
        <v>1.0</v>
      </c>
      <c r="AD116" s="12"/>
      <c r="AE116" s="12">
        <v>1.5</v>
      </c>
      <c r="AF116" s="12"/>
      <c r="AG116" s="12">
        <v>2.0</v>
      </c>
      <c r="AH116" s="12"/>
      <c r="AI116" s="12">
        <v>3.4</v>
      </c>
      <c r="AJ116" s="12"/>
      <c r="AK116" s="12">
        <v>4.1</v>
      </c>
      <c r="AL116" s="12"/>
      <c r="AM116" s="51">
        <v>7.0</v>
      </c>
      <c r="AP116" s="12">
        <v>1.9</v>
      </c>
      <c r="AQ116" s="12"/>
      <c r="AR116" s="12"/>
      <c r="AS116" s="12">
        <v>25.9</v>
      </c>
      <c r="AT116" s="51" t="s">
        <v>50</v>
      </c>
      <c r="AU116" s="12">
        <v>24.5</v>
      </c>
      <c r="AV116" s="12"/>
      <c r="AW116" s="12">
        <v>27.4</v>
      </c>
      <c r="AX116" s="12">
        <v>34.5</v>
      </c>
      <c r="AY116" s="12"/>
      <c r="AZ116" s="51"/>
    </row>
    <row r="117" ht="14.25" customHeight="1">
      <c r="A117" s="26"/>
      <c r="B117" s="10" t="s">
        <v>25</v>
      </c>
      <c r="C117" s="10">
        <v>0.42</v>
      </c>
      <c r="D117" s="10" t="s">
        <v>94</v>
      </c>
      <c r="E117" s="10" t="s">
        <v>291</v>
      </c>
      <c r="F117" s="10">
        <v>8604.0</v>
      </c>
      <c r="G117" s="12">
        <v>5.0</v>
      </c>
      <c r="H117" s="12">
        <v>40.39</v>
      </c>
      <c r="I117" s="121"/>
      <c r="J117" s="121"/>
      <c r="K117" s="12">
        <v>4.75</v>
      </c>
      <c r="L117" s="15"/>
      <c r="M117" s="15"/>
      <c r="N117" s="15"/>
      <c r="O117" s="12">
        <v>27.6</v>
      </c>
      <c r="P117" s="18"/>
      <c r="Q117" s="12">
        <v>30.4</v>
      </c>
      <c r="R117" s="18"/>
      <c r="S117" s="19">
        <v>597.857698352521</v>
      </c>
      <c r="Y117" s="12">
        <v>0.8</v>
      </c>
      <c r="Z117" s="12"/>
      <c r="AA117" s="12">
        <v>1.5</v>
      </c>
      <c r="AB117" s="12"/>
      <c r="AC117" s="12">
        <v>2.1</v>
      </c>
      <c r="AD117" s="12"/>
      <c r="AE117" s="12">
        <v>2.9</v>
      </c>
      <c r="AF117" s="12"/>
      <c r="AG117" s="12">
        <v>4.7</v>
      </c>
      <c r="AH117" s="12"/>
      <c r="AI117" s="12">
        <v>5.4</v>
      </c>
      <c r="AJ117" s="12"/>
      <c r="AK117" s="12">
        <v>5.8</v>
      </c>
      <c r="AL117" s="12"/>
      <c r="AM117" s="51">
        <v>5.1</v>
      </c>
      <c r="AP117" s="12">
        <v>1.9</v>
      </c>
      <c r="AQ117" s="12"/>
      <c r="AR117" s="12"/>
      <c r="AS117" s="12">
        <v>25.9</v>
      </c>
      <c r="AT117" s="51">
        <v>24.2</v>
      </c>
      <c r="AU117" s="12">
        <v>26.8</v>
      </c>
      <c r="AV117" s="12"/>
      <c r="AW117" s="12">
        <v>32.9</v>
      </c>
      <c r="AX117" s="12">
        <v>42.7</v>
      </c>
      <c r="AY117" s="12"/>
      <c r="AZ117" s="51"/>
    </row>
    <row r="118" ht="14.25" customHeight="1">
      <c r="A118" s="26"/>
      <c r="B118" s="10" t="s">
        <v>25</v>
      </c>
      <c r="C118" s="10">
        <v>0.42</v>
      </c>
      <c r="D118" s="10" t="s">
        <v>94</v>
      </c>
      <c r="E118" s="10" t="s">
        <v>27</v>
      </c>
      <c r="F118" s="13">
        <v>63.0</v>
      </c>
      <c r="G118" s="12">
        <v>7.0</v>
      </c>
      <c r="H118" s="12">
        <v>43.71</v>
      </c>
      <c r="I118" s="121"/>
      <c r="J118" s="121"/>
      <c r="K118" s="12">
        <v>4.05</v>
      </c>
      <c r="L118" s="30"/>
      <c r="M118" s="30"/>
      <c r="N118" s="30"/>
      <c r="O118" s="12">
        <v>25.7</v>
      </c>
      <c r="P118" s="72"/>
      <c r="Q118" s="12">
        <v>33.2</v>
      </c>
      <c r="R118" s="72"/>
      <c r="S118" s="49">
        <v>627.5557216141978</v>
      </c>
      <c r="Y118" s="12">
        <v>0.8</v>
      </c>
      <c r="Z118" s="12"/>
      <c r="AA118" s="12">
        <v>1.4</v>
      </c>
      <c r="AB118" s="12"/>
      <c r="AC118" s="12">
        <v>1.7</v>
      </c>
      <c r="AD118" s="12"/>
      <c r="AE118" s="12">
        <v>2.6</v>
      </c>
      <c r="AF118" s="12"/>
      <c r="AG118" s="12">
        <v>3.0</v>
      </c>
      <c r="AH118" s="12"/>
      <c r="AI118" s="12">
        <v>5.4</v>
      </c>
      <c r="AJ118" s="12"/>
      <c r="AK118" s="12">
        <v>6.3</v>
      </c>
      <c r="AL118" s="12"/>
      <c r="AM118" s="51" t="s">
        <v>50</v>
      </c>
      <c r="AP118" s="12">
        <v>1.4</v>
      </c>
      <c r="AQ118" s="12"/>
      <c r="AR118" s="12"/>
      <c r="AS118" s="12">
        <v>14.8</v>
      </c>
      <c r="AT118" s="51">
        <v>25.9</v>
      </c>
      <c r="AU118" s="12">
        <v>29.2</v>
      </c>
      <c r="AV118" s="12"/>
      <c r="AW118" s="12">
        <v>42.3</v>
      </c>
      <c r="AX118" s="12">
        <v>53.3</v>
      </c>
      <c r="AY118" s="12">
        <v>56.7</v>
      </c>
      <c r="AZ118" s="51"/>
    </row>
    <row r="119" ht="14.25" customHeight="1">
      <c r="A119" s="26"/>
      <c r="B119" s="10" t="s">
        <v>25</v>
      </c>
      <c r="C119" s="10">
        <v>0.42</v>
      </c>
      <c r="D119" s="10" t="s">
        <v>94</v>
      </c>
      <c r="E119" s="10" t="s">
        <v>291</v>
      </c>
      <c r="F119" s="13">
        <v>8601.0</v>
      </c>
      <c r="G119" s="12">
        <v>7.0</v>
      </c>
      <c r="H119" s="12">
        <v>49.13</v>
      </c>
      <c r="I119" s="121"/>
      <c r="J119" s="121"/>
      <c r="K119" s="12">
        <v>4.07</v>
      </c>
      <c r="L119" s="30"/>
      <c r="M119" s="30"/>
      <c r="N119" s="30"/>
      <c r="O119" s="12">
        <v>25.5</v>
      </c>
      <c r="P119" s="72"/>
      <c r="Q119" s="12">
        <v>29.9</v>
      </c>
      <c r="R119" s="72"/>
      <c r="S119" s="49">
        <v>604.7377457534053</v>
      </c>
      <c r="Y119" s="12">
        <v>0.5</v>
      </c>
      <c r="Z119" s="12"/>
      <c r="AA119" s="12">
        <v>1.0</v>
      </c>
      <c r="AB119" s="12"/>
      <c r="AC119" s="12">
        <v>1.0</v>
      </c>
      <c r="AD119" s="12"/>
      <c r="AE119" s="12">
        <v>1.9</v>
      </c>
      <c r="AF119" s="12"/>
      <c r="AG119" s="12">
        <v>3.0</v>
      </c>
      <c r="AH119" s="12"/>
      <c r="AI119" s="12">
        <v>4.7</v>
      </c>
      <c r="AJ119" s="12"/>
      <c r="AK119" s="12">
        <v>5.5</v>
      </c>
      <c r="AL119" s="12"/>
      <c r="AM119" s="51">
        <v>6.2</v>
      </c>
      <c r="AP119" s="12" t="s">
        <v>296</v>
      </c>
      <c r="AQ119" s="12"/>
      <c r="AR119" s="12"/>
      <c r="AS119" s="12">
        <v>27.1</v>
      </c>
      <c r="AT119" s="51">
        <v>24.2</v>
      </c>
      <c r="AU119" s="12">
        <v>21.2</v>
      </c>
      <c r="AV119" s="12"/>
      <c r="AW119" s="12">
        <v>34.6</v>
      </c>
      <c r="AX119" s="12">
        <v>39.8</v>
      </c>
      <c r="AY119" s="12"/>
      <c r="AZ119" s="51"/>
    </row>
    <row r="120" ht="14.25" customHeight="1">
      <c r="A120" s="26"/>
      <c r="B120" s="10" t="s">
        <v>25</v>
      </c>
      <c r="C120" s="10">
        <v>0.42</v>
      </c>
      <c r="D120" s="10" t="s">
        <v>94</v>
      </c>
      <c r="E120" s="10" t="s">
        <v>291</v>
      </c>
      <c r="F120" s="10">
        <v>8603.0</v>
      </c>
      <c r="G120" s="12">
        <v>7.0</v>
      </c>
      <c r="H120" s="12">
        <v>48.55</v>
      </c>
      <c r="I120" s="121"/>
      <c r="J120" s="121"/>
      <c r="K120" s="12">
        <v>4.25</v>
      </c>
      <c r="L120" s="30"/>
      <c r="M120" s="30"/>
      <c r="N120" s="30"/>
      <c r="O120" s="12">
        <v>26.8</v>
      </c>
      <c r="P120" s="72"/>
      <c r="Q120" s="12">
        <v>33.4</v>
      </c>
      <c r="R120" s="72"/>
      <c r="S120" s="49">
        <v>637.7748572840558</v>
      </c>
      <c r="Y120" s="12">
        <v>1.3</v>
      </c>
      <c r="Z120" s="12"/>
      <c r="AA120" s="12">
        <v>2.7</v>
      </c>
      <c r="AB120" s="12"/>
      <c r="AC120" s="12">
        <v>3.3</v>
      </c>
      <c r="AD120" s="12"/>
      <c r="AE120" s="12">
        <v>4.5</v>
      </c>
      <c r="AF120" s="12"/>
      <c r="AG120" s="12">
        <v>4.9</v>
      </c>
      <c r="AH120" s="12"/>
      <c r="AI120" s="12">
        <v>5.0</v>
      </c>
      <c r="AJ120" s="12"/>
      <c r="AK120" s="12">
        <v>8.6</v>
      </c>
      <c r="AL120" s="12"/>
      <c r="AM120" s="51">
        <v>11.8</v>
      </c>
      <c r="AP120" s="12">
        <v>13.3</v>
      </c>
      <c r="AQ120" s="12"/>
      <c r="AR120" s="12"/>
      <c r="AS120" s="12">
        <v>26.5</v>
      </c>
      <c r="AT120" s="51" t="s">
        <v>50</v>
      </c>
      <c r="AU120" s="12">
        <v>21.1</v>
      </c>
      <c r="AV120" s="12"/>
      <c r="AW120" s="12">
        <v>31.6</v>
      </c>
      <c r="AX120" s="12">
        <v>30.4</v>
      </c>
      <c r="AY120" s="12"/>
      <c r="AZ120" s="51"/>
    </row>
    <row r="121" ht="14.25" customHeight="1">
      <c r="A121" s="33"/>
      <c r="B121" s="10" t="s">
        <v>25</v>
      </c>
      <c r="C121" s="10">
        <v>0.42</v>
      </c>
      <c r="D121" s="10" t="s">
        <v>94</v>
      </c>
      <c r="E121" s="10" t="s">
        <v>291</v>
      </c>
      <c r="F121" s="10">
        <v>8604.0</v>
      </c>
      <c r="G121" s="12">
        <v>7.0</v>
      </c>
      <c r="H121" s="12">
        <v>28.07</v>
      </c>
      <c r="I121" s="121"/>
      <c r="J121" s="121"/>
      <c r="K121" s="12">
        <v>4.92</v>
      </c>
      <c r="L121" s="30"/>
      <c r="M121" s="30"/>
      <c r="N121" s="30"/>
      <c r="O121" s="12">
        <v>29.4</v>
      </c>
      <c r="P121" s="72"/>
      <c r="Q121" s="12">
        <v>34.4</v>
      </c>
      <c r="R121" s="72"/>
      <c r="S121" s="49">
        <v>632.7996105277238</v>
      </c>
      <c r="T121" s="44"/>
      <c r="U121" s="44"/>
      <c r="V121" s="44"/>
      <c r="W121" s="44"/>
      <c r="X121" s="44"/>
      <c r="Y121" s="36">
        <v>1.5</v>
      </c>
      <c r="Z121" s="36"/>
      <c r="AA121" s="36">
        <v>3.0</v>
      </c>
      <c r="AB121" s="36"/>
      <c r="AC121" s="36">
        <v>4.3</v>
      </c>
      <c r="AD121" s="36"/>
      <c r="AE121" s="36">
        <v>3.9</v>
      </c>
      <c r="AF121" s="36"/>
      <c r="AG121" s="36">
        <v>6.0</v>
      </c>
      <c r="AH121" s="36"/>
      <c r="AI121" s="36">
        <v>6.2</v>
      </c>
      <c r="AJ121" s="36"/>
      <c r="AK121" s="36">
        <v>5.5</v>
      </c>
      <c r="AL121" s="36"/>
      <c r="AM121" s="54">
        <v>6.8</v>
      </c>
      <c r="AN121" s="44"/>
      <c r="AO121" s="44"/>
      <c r="AP121" s="36">
        <v>13.3</v>
      </c>
      <c r="AQ121" s="36"/>
      <c r="AR121" s="36"/>
      <c r="AS121" s="36">
        <v>26.5</v>
      </c>
      <c r="AT121" s="54">
        <v>25.4</v>
      </c>
      <c r="AU121" s="36">
        <v>16.5</v>
      </c>
      <c r="AV121" s="36"/>
      <c r="AW121" s="36">
        <v>24.4</v>
      </c>
      <c r="AX121" s="36">
        <v>24.6</v>
      </c>
      <c r="AY121" s="36"/>
      <c r="AZ121" s="54"/>
    </row>
  </sheetData>
  <mergeCells count="14">
    <mergeCell ref="A47:A66"/>
    <mergeCell ref="A67:A80"/>
    <mergeCell ref="A81:A88"/>
    <mergeCell ref="A89:A95"/>
    <mergeCell ref="A96:A101"/>
    <mergeCell ref="A102:A113"/>
    <mergeCell ref="A114:A121"/>
    <mergeCell ref="H17:N17"/>
    <mergeCell ref="O17:S17"/>
    <mergeCell ref="T17:AM17"/>
    <mergeCell ref="AN17:AT17"/>
    <mergeCell ref="AU17:AZ17"/>
    <mergeCell ref="A19:A42"/>
    <mergeCell ref="A43:A4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2026-02-11T11:35:24Z</dcterms:created>
  <dc:creator>Ignacio Segura</dc:creator>
</cp:coreProperties>
</file>